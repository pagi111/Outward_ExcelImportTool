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cin\Desktop\Outward Modding\"/>
    </mc:Choice>
  </mc:AlternateContent>
  <xr:revisionPtr revIDLastSave="0" documentId="13_ncr:1_{F49025A4-A3B4-426F-AA82-8FCB48D9E740}" xr6:coauthVersionLast="47" xr6:coauthVersionMax="47" xr10:uidLastSave="{00000000-0000-0000-0000-000000000000}"/>
  <bookViews>
    <workbookView xWindow="-120" yWindow="-120" windowWidth="29040" windowHeight="15720" tabRatio="825" xr2:uid="{00000000-000D-0000-FFFF-FFFF00000000}"/>
  </bookViews>
  <sheets>
    <sheet name="GeneralValues" sheetId="19" r:id="rId1"/>
    <sheet name="Body" sheetId="1" r:id="rId2"/>
    <sheet name="Helmets" sheetId="4" r:id="rId3"/>
    <sheet name="Boots" sheetId="5" r:id="rId4"/>
    <sheet name="Damage_Bonus" sheetId="20" r:id="rId5"/>
    <sheet name="Backpacks" sheetId="18" r:id="rId6"/>
  </sheets>
  <calcPr calcId="181029"/>
</workbook>
</file>

<file path=xl/calcChain.xml><?xml version="1.0" encoding="utf-8"?>
<calcChain xmlns="http://schemas.openxmlformats.org/spreadsheetml/2006/main">
  <c r="B78" i="5" l="1"/>
  <c r="U4" i="5" s="1"/>
  <c r="B114" i="4"/>
  <c r="X5" i="4" s="1"/>
  <c r="B107" i="1"/>
  <c r="X5" i="1" s="1"/>
  <c r="AD2" i="19"/>
  <c r="AD3" i="19"/>
  <c r="O11" i="5" l="1"/>
  <c r="Q7" i="5"/>
  <c r="I69" i="5"/>
  <c r="W63" i="5"/>
  <c r="Q43" i="5"/>
  <c r="G66" i="5"/>
  <c r="I34" i="5"/>
  <c r="U57" i="5"/>
  <c r="N72" i="5"/>
  <c r="J69" i="5"/>
  <c r="O62" i="5"/>
  <c r="K30" i="5"/>
  <c r="V52" i="5"/>
  <c r="P11" i="5"/>
  <c r="M72" i="5"/>
  <c r="U69" i="5"/>
  <c r="H62" i="5"/>
  <c r="J30" i="5"/>
  <c r="X46" i="5"/>
  <c r="E47" i="5"/>
  <c r="C44" i="5"/>
  <c r="J39" i="5"/>
  <c r="J34" i="5"/>
  <c r="Q58" i="5"/>
  <c r="Q25" i="5"/>
  <c r="U40" i="5"/>
  <c r="X74" i="5"/>
  <c r="H66" i="5"/>
  <c r="M58" i="5"/>
  <c r="P25" i="5"/>
  <c r="U34" i="5"/>
  <c r="D47" i="5"/>
  <c r="W74" i="5"/>
  <c r="F39" i="5"/>
  <c r="K55" i="5"/>
  <c r="M20" i="5"/>
  <c r="U28" i="5"/>
  <c r="J55" i="5"/>
  <c r="L20" i="5"/>
  <c r="V21" i="5"/>
  <c r="J51" i="5"/>
  <c r="N16" i="5"/>
  <c r="V15" i="5"/>
  <c r="I51" i="5"/>
  <c r="M16" i="5"/>
  <c r="V10" i="5"/>
  <c r="C47" i="5"/>
  <c r="V74" i="5"/>
  <c r="X33" i="5"/>
  <c r="F65" i="5"/>
  <c r="G34" i="5"/>
  <c r="W68" i="5"/>
  <c r="T9" i="5"/>
  <c r="F51" i="5"/>
  <c r="I11" i="5"/>
  <c r="V44" i="5"/>
  <c r="O68" i="5"/>
  <c r="Q38" i="5"/>
  <c r="T73" i="5"/>
  <c r="V26" i="5"/>
  <c r="P60" i="5"/>
  <c r="P33" i="5"/>
  <c r="C6" i="5"/>
  <c r="T33" i="5"/>
  <c r="F71" i="5"/>
  <c r="L45" i="5"/>
  <c r="L9" i="5"/>
  <c r="U50" i="5"/>
  <c r="X32" i="5"/>
  <c r="V7" i="5"/>
  <c r="Q74" i="5"/>
  <c r="E71" i="5"/>
  <c r="G68" i="5"/>
  <c r="K64" i="5"/>
  <c r="I60" i="5"/>
  <c r="J57" i="5"/>
  <c r="Q53" i="5"/>
  <c r="I49" i="5"/>
  <c r="K45" i="5"/>
  <c r="Q41" i="5"/>
  <c r="M37" i="5"/>
  <c r="N33" i="5"/>
  <c r="J28" i="5"/>
  <c r="L23" i="5"/>
  <c r="M19" i="5"/>
  <c r="L14" i="5"/>
  <c r="H9" i="5"/>
  <c r="L5" i="5"/>
  <c r="V72" i="5"/>
  <c r="T66" i="5"/>
  <c r="V60" i="5"/>
  <c r="W55" i="5"/>
  <c r="U49" i="5"/>
  <c r="W43" i="5"/>
  <c r="W37" i="5"/>
  <c r="X30" i="5"/>
  <c r="X24" i="5"/>
  <c r="X18" i="5"/>
  <c r="T12" i="5"/>
  <c r="U7" i="5"/>
  <c r="T34" i="5"/>
  <c r="L72" i="5"/>
  <c r="E39" i="5"/>
  <c r="X68" i="5"/>
  <c r="U9" i="5"/>
  <c r="G51" i="5"/>
  <c r="J11" i="5"/>
  <c r="X51" i="5"/>
  <c r="X14" i="5"/>
  <c r="G54" i="5"/>
  <c r="C25" i="5"/>
  <c r="V56" i="5"/>
  <c r="H75" i="5"/>
  <c r="D51" i="5"/>
  <c r="Q24" i="5"/>
  <c r="W50" i="5"/>
  <c r="G75" i="5"/>
  <c r="H50" i="5"/>
  <c r="G11" i="5"/>
  <c r="T44" i="5"/>
  <c r="U14" i="5"/>
  <c r="C54" i="5"/>
  <c r="N19" i="5"/>
  <c r="M5" i="5"/>
  <c r="X43" i="5"/>
  <c r="T25" i="5"/>
  <c r="T14" i="5"/>
  <c r="P74" i="5"/>
  <c r="D71" i="5"/>
  <c r="L67" i="5"/>
  <c r="J64" i="5"/>
  <c r="H60" i="5"/>
  <c r="P56" i="5"/>
  <c r="F53" i="5"/>
  <c r="O48" i="5"/>
  <c r="F45" i="5"/>
  <c r="H41" i="5"/>
  <c r="L37" i="5"/>
  <c r="H32" i="5"/>
  <c r="N27" i="5"/>
  <c r="K23" i="5"/>
  <c r="N18" i="5"/>
  <c r="K14" i="5"/>
  <c r="G9" i="5"/>
  <c r="Q4" i="5"/>
  <c r="U72" i="5"/>
  <c r="X65" i="5"/>
  <c r="U60" i="5"/>
  <c r="V55" i="5"/>
  <c r="T49" i="5"/>
  <c r="V43" i="5"/>
  <c r="V37" i="5"/>
  <c r="W30" i="5"/>
  <c r="W24" i="5"/>
  <c r="W18" i="5"/>
  <c r="X11" i="5"/>
  <c r="T6" i="5"/>
  <c r="T40" i="5"/>
  <c r="U10" i="5"/>
  <c r="H51" i="5"/>
  <c r="K20" i="5"/>
  <c r="X56" i="5"/>
  <c r="T15" i="5"/>
  <c r="I54" i="5"/>
  <c r="D25" i="5"/>
  <c r="T63" i="5"/>
  <c r="X20" i="5"/>
  <c r="O57" i="5"/>
  <c r="G30" i="5"/>
  <c r="E6" i="5"/>
  <c r="V33" i="5"/>
  <c r="C72" i="5"/>
  <c r="E42" i="5"/>
  <c r="G15" i="5"/>
  <c r="U44" i="5"/>
  <c r="Q71" i="5"/>
  <c r="D38" i="5"/>
  <c r="X72" i="5"/>
  <c r="U25" i="5"/>
  <c r="J60" i="5"/>
  <c r="N37" i="5"/>
  <c r="M14" i="5"/>
  <c r="X55" i="5"/>
  <c r="T20" i="5"/>
  <c r="H67" i="5"/>
  <c r="N63" i="5"/>
  <c r="G60" i="5"/>
  <c r="O56" i="5"/>
  <c r="D53" i="5"/>
  <c r="N48" i="5"/>
  <c r="E45" i="5"/>
  <c r="G41" i="5"/>
  <c r="D37" i="5"/>
  <c r="C32" i="5"/>
  <c r="J27" i="5"/>
  <c r="J23" i="5"/>
  <c r="M18" i="5"/>
  <c r="I13" i="5"/>
  <c r="F9" i="5"/>
  <c r="P4" i="5"/>
  <c r="T72" i="5"/>
  <c r="W65" i="5"/>
  <c r="T60" i="5"/>
  <c r="U55" i="5"/>
  <c r="X48" i="5"/>
  <c r="U43" i="5"/>
  <c r="U37" i="5"/>
  <c r="V30" i="5"/>
  <c r="V24" i="5"/>
  <c r="V18" i="5"/>
  <c r="W11" i="5"/>
  <c r="X5" i="5"/>
  <c r="T57" i="5"/>
  <c r="G65" i="5"/>
  <c r="H34" i="5"/>
  <c r="O7" i="5"/>
  <c r="X27" i="5"/>
  <c r="I58" i="5"/>
  <c r="C20" i="5"/>
  <c r="W39" i="5"/>
  <c r="E65" i="5"/>
  <c r="Q19" i="5"/>
  <c r="V39" i="5"/>
  <c r="D65" i="5"/>
  <c r="P19" i="5"/>
  <c r="U39" i="5"/>
  <c r="Q64" i="5"/>
  <c r="O19" i="5"/>
  <c r="T38" i="5"/>
  <c r="L64" i="5"/>
  <c r="O33" i="5"/>
  <c r="V61" i="5"/>
  <c r="O74" i="5"/>
  <c r="Q70" i="5"/>
  <c r="I63" i="5"/>
  <c r="F60" i="5"/>
  <c r="G56" i="5"/>
  <c r="K52" i="5"/>
  <c r="M48" i="5"/>
  <c r="D45" i="5"/>
  <c r="C41" i="5"/>
  <c r="C37" i="5"/>
  <c r="N31" i="5"/>
  <c r="I27" i="5"/>
  <c r="F23" i="5"/>
  <c r="L18" i="5"/>
  <c r="H13" i="5"/>
  <c r="E9" i="5"/>
  <c r="O4" i="5"/>
  <c r="X71" i="5"/>
  <c r="V65" i="5"/>
  <c r="X59" i="5"/>
  <c r="T55" i="5"/>
  <c r="W48" i="5"/>
  <c r="T43" i="5"/>
  <c r="T37" i="5"/>
  <c r="U30" i="5"/>
  <c r="U24" i="5"/>
  <c r="U18" i="5"/>
  <c r="V11" i="5"/>
  <c r="W5" i="5"/>
  <c r="P7" i="5"/>
  <c r="U52" i="5"/>
  <c r="U15" i="5"/>
  <c r="J54" i="5"/>
  <c r="N11" i="5"/>
  <c r="X39" i="5"/>
  <c r="Q68" i="5"/>
  <c r="K42" i="5"/>
  <c r="U74" i="5"/>
  <c r="W27" i="5"/>
  <c r="H61" i="5"/>
  <c r="F34" i="5"/>
  <c r="V68" i="5"/>
  <c r="W20" i="5"/>
  <c r="N57" i="5"/>
  <c r="D29" i="5"/>
  <c r="X61" i="5"/>
  <c r="V14" i="5"/>
  <c r="M57" i="5"/>
  <c r="O28" i="5"/>
  <c r="T56" i="5"/>
  <c r="C75" i="5"/>
  <c r="P49" i="5"/>
  <c r="M23" i="5"/>
  <c r="X37" i="5"/>
  <c r="C71" i="5"/>
  <c r="P73" i="5"/>
  <c r="P66" i="5"/>
  <c r="O73" i="5"/>
  <c r="P70" i="5"/>
  <c r="L66" i="5"/>
  <c r="H63" i="5"/>
  <c r="E60" i="5"/>
  <c r="F56" i="5"/>
  <c r="N51" i="5"/>
  <c r="L48" i="5"/>
  <c r="G44" i="5"/>
  <c r="Q40" i="5"/>
  <c r="H36" i="5"/>
  <c r="G31" i="5"/>
  <c r="H27" i="5"/>
  <c r="J22" i="5"/>
  <c r="G18" i="5"/>
  <c r="G13" i="5"/>
  <c r="F8" i="5"/>
  <c r="C4" i="5"/>
  <c r="T70" i="5"/>
  <c r="U65" i="5"/>
  <c r="W59" i="5"/>
  <c r="U53" i="5"/>
  <c r="W47" i="5"/>
  <c r="X42" i="5"/>
  <c r="T36" i="5"/>
  <c r="T30" i="5"/>
  <c r="T24" i="5"/>
  <c r="U17" i="5"/>
  <c r="U11" i="5"/>
  <c r="V5" i="5"/>
  <c r="W46" i="5"/>
  <c r="G62" i="5"/>
  <c r="O25" i="5"/>
  <c r="V46" i="5"/>
  <c r="K72" i="5"/>
  <c r="D39" i="5"/>
  <c r="W56" i="5"/>
  <c r="D72" i="5"/>
  <c r="F42" i="5"/>
  <c r="T62" i="5"/>
  <c r="T8" i="5"/>
  <c r="J46" i="5"/>
  <c r="U68" i="5"/>
  <c r="V20" i="5"/>
  <c r="N45" i="5"/>
  <c r="T68" i="5"/>
  <c r="H68" i="5"/>
  <c r="C42" i="5"/>
  <c r="W72" i="5"/>
  <c r="N73" i="5"/>
  <c r="M69" i="5"/>
  <c r="K66" i="5"/>
  <c r="G63" i="5"/>
  <c r="D60" i="5"/>
  <c r="E56" i="5"/>
  <c r="M51" i="5"/>
  <c r="H48" i="5"/>
  <c r="F44" i="5"/>
  <c r="P40" i="5"/>
  <c r="O35" i="5"/>
  <c r="F31" i="5"/>
  <c r="G27" i="5"/>
  <c r="I22" i="5"/>
  <c r="E17" i="5"/>
  <c r="F13" i="5"/>
  <c r="E8" i="5"/>
  <c r="Q3" i="5"/>
  <c r="X69" i="5"/>
  <c r="T65" i="5"/>
  <c r="V59" i="5"/>
  <c r="T53" i="5"/>
  <c r="V47" i="5"/>
  <c r="W42" i="5"/>
  <c r="X34" i="5"/>
  <c r="X29" i="5"/>
  <c r="X23" i="5"/>
  <c r="T17" i="5"/>
  <c r="T11" i="5"/>
  <c r="U5" i="5"/>
  <c r="T69" i="5"/>
  <c r="T28" i="5"/>
  <c r="C69" i="5"/>
  <c r="M42" i="5"/>
  <c r="L16" i="5"/>
  <c r="T52" i="5"/>
  <c r="J75" i="5"/>
  <c r="Q46" i="5"/>
  <c r="K16" i="5"/>
  <c r="U46" i="5"/>
  <c r="I75" i="5"/>
  <c r="O46" i="5"/>
  <c r="F16" i="5"/>
  <c r="X50" i="5"/>
  <c r="W14" i="5"/>
  <c r="E54" i="5"/>
  <c r="H11" i="5"/>
  <c r="U56" i="5"/>
  <c r="X7" i="5"/>
  <c r="D54" i="5"/>
  <c r="C24" i="5"/>
  <c r="W61" i="5"/>
  <c r="U20" i="5"/>
  <c r="L57" i="5"/>
  <c r="K28" i="5"/>
  <c r="X67" i="5"/>
  <c r="M73" i="5"/>
  <c r="L69" i="5"/>
  <c r="J66" i="5"/>
  <c r="C63" i="5"/>
  <c r="C60" i="5"/>
  <c r="M55" i="5"/>
  <c r="L51" i="5"/>
  <c r="G48" i="5"/>
  <c r="E44" i="5"/>
  <c r="K40" i="5"/>
  <c r="N35" i="5"/>
  <c r="E31" i="5"/>
  <c r="M26" i="5"/>
  <c r="E22" i="5"/>
  <c r="D17" i="5"/>
  <c r="P12" i="5"/>
  <c r="D8" i="5"/>
  <c r="P3" i="5"/>
  <c r="W69" i="5"/>
  <c r="X64" i="5"/>
  <c r="U59" i="5"/>
  <c r="X52" i="5"/>
  <c r="U47" i="5"/>
  <c r="V42" i="5"/>
  <c r="W34" i="5"/>
  <c r="W29" i="5"/>
  <c r="W23" i="5"/>
  <c r="X16" i="5"/>
  <c r="X10" i="5"/>
  <c r="T5" i="5"/>
  <c r="V63" i="5"/>
  <c r="U21" i="5"/>
  <c r="K58" i="5"/>
  <c r="I30" i="5"/>
  <c r="U63" i="5"/>
  <c r="T21" i="5"/>
  <c r="F62" i="5"/>
  <c r="H30" i="5"/>
  <c r="L6" i="5"/>
  <c r="W33" i="5"/>
  <c r="P68" i="5"/>
  <c r="C39" i="5"/>
  <c r="U73" i="5"/>
  <c r="W26" i="5"/>
  <c r="Q60" i="5"/>
  <c r="E34" i="5"/>
  <c r="D6" i="5"/>
  <c r="U33" i="5"/>
  <c r="I68" i="5"/>
  <c r="D42" i="5"/>
  <c r="Q14" i="5"/>
  <c r="V50" i="5"/>
  <c r="W7" i="5"/>
  <c r="L73" i="5"/>
  <c r="K69" i="5"/>
  <c r="I66" i="5"/>
  <c r="Q62" i="5"/>
  <c r="Q59" i="5"/>
  <c r="L55" i="5"/>
  <c r="K51" i="5"/>
  <c r="F48" i="5"/>
  <c r="D44" i="5"/>
  <c r="K39" i="5"/>
  <c r="M35" i="5"/>
  <c r="D31" i="5"/>
  <c r="C26" i="5"/>
  <c r="D22" i="5"/>
  <c r="O16" i="5"/>
  <c r="Q11" i="5"/>
  <c r="C8" i="5"/>
  <c r="X75" i="5"/>
  <c r="V69" i="5"/>
  <c r="W64" i="5"/>
  <c r="T59" i="5"/>
  <c r="W52" i="5"/>
  <c r="T47" i="5"/>
  <c r="U41" i="5"/>
  <c r="V34" i="5"/>
  <c r="V28" i="5"/>
  <c r="V23" i="5"/>
  <c r="W15" i="5"/>
  <c r="W10" i="5"/>
  <c r="X4" i="5"/>
  <c r="W75" i="5"/>
  <c r="W71" i="5"/>
  <c r="X66" i="5"/>
  <c r="X62" i="5"/>
  <c r="X58" i="5"/>
  <c r="T54" i="5"/>
  <c r="T50" i="5"/>
  <c r="T46" i="5"/>
  <c r="T41" i="5"/>
  <c r="X36" i="5"/>
  <c r="W31" i="5"/>
  <c r="V27" i="5"/>
  <c r="U23" i="5"/>
  <c r="T18" i="5"/>
  <c r="X13" i="5"/>
  <c r="W4" i="5"/>
  <c r="K73" i="5"/>
  <c r="O70" i="5"/>
  <c r="K67" i="5"/>
  <c r="O64" i="5"/>
  <c r="E62" i="5"/>
  <c r="P58" i="5"/>
  <c r="D56" i="5"/>
  <c r="C53" i="5"/>
  <c r="O49" i="5"/>
  <c r="M46" i="5"/>
  <c r="P43" i="5"/>
  <c r="N39" i="5"/>
  <c r="K36" i="5"/>
  <c r="O32" i="5"/>
  <c r="C29" i="5"/>
  <c r="G25" i="5"/>
  <c r="C22" i="5"/>
  <c r="F18" i="5"/>
  <c r="J14" i="5"/>
  <c r="Q10" i="5"/>
  <c r="K6" i="5"/>
  <c r="V75" i="5"/>
  <c r="V71" i="5"/>
  <c r="W66" i="5"/>
  <c r="W62" i="5"/>
  <c r="W58" i="5"/>
  <c r="X53" i="5"/>
  <c r="X49" i="5"/>
  <c r="X45" i="5"/>
  <c r="X40" i="5"/>
  <c r="W36" i="5"/>
  <c r="V31" i="5"/>
  <c r="U27" i="5"/>
  <c r="T22" i="5"/>
  <c r="X17" i="5"/>
  <c r="W13" i="5"/>
  <c r="W8" i="5"/>
  <c r="V4" i="5"/>
  <c r="X8" i="5"/>
  <c r="M75" i="5"/>
  <c r="N70" i="5"/>
  <c r="J67" i="5"/>
  <c r="N64" i="5"/>
  <c r="D62" i="5"/>
  <c r="O58" i="5"/>
  <c r="C56" i="5"/>
  <c r="Q52" i="5"/>
  <c r="K49" i="5"/>
  <c r="L46" i="5"/>
  <c r="O43" i="5"/>
  <c r="M39" i="5"/>
  <c r="J36" i="5"/>
  <c r="N32" i="5"/>
  <c r="Q28" i="5"/>
  <c r="F25" i="5"/>
  <c r="Q21" i="5"/>
  <c r="E18" i="5"/>
  <c r="I14" i="5"/>
  <c r="P10" i="5"/>
  <c r="J6" i="5"/>
  <c r="U75" i="5"/>
  <c r="U71" i="5"/>
  <c r="V66" i="5"/>
  <c r="V62" i="5"/>
  <c r="V58" i="5"/>
  <c r="W53" i="5"/>
  <c r="W49" i="5"/>
  <c r="W45" i="5"/>
  <c r="W40" i="5"/>
  <c r="V36" i="5"/>
  <c r="U31" i="5"/>
  <c r="T27" i="5"/>
  <c r="X21" i="5"/>
  <c r="W17" i="5"/>
  <c r="V12" i="5"/>
  <c r="V8" i="5"/>
  <c r="T3" i="5"/>
  <c r="U6" i="5"/>
  <c r="V9" i="5"/>
  <c r="W12" i="5"/>
  <c r="X15" i="5"/>
  <c r="T19" i="5"/>
  <c r="U22" i="5"/>
  <c r="V25" i="5"/>
  <c r="W28" i="5"/>
  <c r="X31" i="5"/>
  <c r="T35" i="5"/>
  <c r="U38" i="5"/>
  <c r="V41" i="5"/>
  <c r="W44" i="5"/>
  <c r="X47" i="5"/>
  <c r="T51" i="5"/>
  <c r="U54" i="5"/>
  <c r="V57" i="5"/>
  <c r="W60" i="5"/>
  <c r="X63" i="5"/>
  <c r="T67" i="5"/>
  <c r="U70" i="5"/>
  <c r="V73" i="5"/>
  <c r="G4" i="5"/>
  <c r="M6" i="5"/>
  <c r="M9" i="5"/>
  <c r="Q12" i="5"/>
  <c r="H15" i="5"/>
  <c r="H18" i="5"/>
  <c r="N20" i="5"/>
  <c r="N23" i="5"/>
  <c r="N26" i="5"/>
  <c r="E29" i="5"/>
  <c r="I32" i="5"/>
  <c r="K34" i="5"/>
  <c r="O37" i="5"/>
  <c r="L40" i="5"/>
  <c r="N42" i="5"/>
  <c r="G45" i="5"/>
  <c r="I47" i="5"/>
  <c r="C50" i="5"/>
  <c r="L52" i="5"/>
  <c r="N54" i="5"/>
  <c r="E57" i="5"/>
  <c r="C59" i="5"/>
  <c r="I61" i="5"/>
  <c r="J63" i="5"/>
  <c r="P65" i="5"/>
  <c r="M67" i="5"/>
  <c r="N69" i="5"/>
  <c r="E72" i="5"/>
  <c r="E74" i="5"/>
  <c r="O21" i="5"/>
  <c r="L35" i="5"/>
  <c r="H43" i="5"/>
  <c r="G50" i="5"/>
  <c r="F59" i="5"/>
  <c r="F66" i="5"/>
  <c r="I72" i="5"/>
  <c r="U3" i="5"/>
  <c r="V6" i="5"/>
  <c r="W9" i="5"/>
  <c r="X12" i="5"/>
  <c r="T16" i="5"/>
  <c r="U19" i="5"/>
  <c r="V22" i="5"/>
  <c r="W25" i="5"/>
  <c r="X28" i="5"/>
  <c r="T32" i="5"/>
  <c r="U35" i="5"/>
  <c r="V38" i="5"/>
  <c r="W41" i="5"/>
  <c r="X44" i="5"/>
  <c r="T48" i="5"/>
  <c r="U51" i="5"/>
  <c r="V54" i="5"/>
  <c r="W57" i="5"/>
  <c r="X60" i="5"/>
  <c r="T64" i="5"/>
  <c r="U67" i="5"/>
  <c r="V70" i="5"/>
  <c r="W73" i="5"/>
  <c r="H4" i="5"/>
  <c r="L7" i="5"/>
  <c r="C10" i="5"/>
  <c r="C13" i="5"/>
  <c r="I15" i="5"/>
  <c r="I18" i="5"/>
  <c r="I21" i="5"/>
  <c r="O23" i="5"/>
  <c r="D27" i="5"/>
  <c r="F29" i="5"/>
  <c r="J32" i="5"/>
  <c r="J35" i="5"/>
  <c r="P37" i="5"/>
  <c r="M40" i="5"/>
  <c r="O42" i="5"/>
  <c r="H45" i="5"/>
  <c r="C48" i="5"/>
  <c r="E50" i="5"/>
  <c r="M52" i="5"/>
  <c r="O54" i="5"/>
  <c r="F57" i="5"/>
  <c r="D59" i="5"/>
  <c r="J61" i="5"/>
  <c r="K63" i="5"/>
  <c r="C66" i="5"/>
  <c r="N67" i="5"/>
  <c r="O69" i="5"/>
  <c r="F72" i="5"/>
  <c r="F74" i="5"/>
  <c r="X6" i="5"/>
  <c r="U13" i="5"/>
  <c r="W19" i="5"/>
  <c r="T26" i="5"/>
  <c r="V32" i="5"/>
  <c r="X38" i="5"/>
  <c r="U45" i="5"/>
  <c r="W51" i="5"/>
  <c r="T58" i="5"/>
  <c r="W67" i="5"/>
  <c r="T74" i="5"/>
  <c r="N7" i="5"/>
  <c r="E13" i="5"/>
  <c r="E16" i="5"/>
  <c r="Q23" i="5"/>
  <c r="F30" i="5"/>
  <c r="C38" i="5"/>
  <c r="J45" i="5"/>
  <c r="O52" i="5"/>
  <c r="H57" i="5"/>
  <c r="M63" i="5"/>
  <c r="L70" i="5"/>
  <c r="X3" i="5"/>
  <c r="T7" i="5"/>
  <c r="V13" i="5"/>
  <c r="X19" i="5"/>
  <c r="T23" i="5"/>
  <c r="U26" i="5"/>
  <c r="V29" i="5"/>
  <c r="W32" i="5"/>
  <c r="X35" i="5"/>
  <c r="T39" i="5"/>
  <c r="U42" i="5"/>
  <c r="V3" i="5"/>
  <c r="W6" i="5"/>
  <c r="X9" i="5"/>
  <c r="T13" i="5"/>
  <c r="U16" i="5"/>
  <c r="V19" i="5"/>
  <c r="W22" i="5"/>
  <c r="X25" i="5"/>
  <c r="T29" i="5"/>
  <c r="U32" i="5"/>
  <c r="V35" i="5"/>
  <c r="W38" i="5"/>
  <c r="X41" i="5"/>
  <c r="T45" i="5"/>
  <c r="U48" i="5"/>
  <c r="V51" i="5"/>
  <c r="W54" i="5"/>
  <c r="X57" i="5"/>
  <c r="T61" i="5"/>
  <c r="U64" i="5"/>
  <c r="V67" i="5"/>
  <c r="W70" i="5"/>
  <c r="X73" i="5"/>
  <c r="I4" i="5"/>
  <c r="M7" i="5"/>
  <c r="D10" i="5"/>
  <c r="D13" i="5"/>
  <c r="J15" i="5"/>
  <c r="J18" i="5"/>
  <c r="J21" i="5"/>
  <c r="P23" i="5"/>
  <c r="E27" i="5"/>
  <c r="G29" i="5"/>
  <c r="K32" i="5"/>
  <c r="K35" i="5"/>
  <c r="Q37" i="5"/>
  <c r="N40" i="5"/>
  <c r="P42" i="5"/>
  <c r="I45" i="5"/>
  <c r="D48" i="5"/>
  <c r="F50" i="5"/>
  <c r="N52" i="5"/>
  <c r="P54" i="5"/>
  <c r="G57" i="5"/>
  <c r="E59" i="5"/>
  <c r="K61" i="5"/>
  <c r="L63" i="5"/>
  <c r="E66" i="5"/>
  <c r="O67" i="5"/>
  <c r="G70" i="5"/>
  <c r="G72" i="5"/>
  <c r="G74" i="5"/>
  <c r="W3" i="5"/>
  <c r="T10" i="5"/>
  <c r="V16" i="5"/>
  <c r="X22" i="5"/>
  <c r="U29" i="5"/>
  <c r="W35" i="5"/>
  <c r="T42" i="5"/>
  <c r="V48" i="5"/>
  <c r="X54" i="5"/>
  <c r="U61" i="5"/>
  <c r="V64" i="5"/>
  <c r="X70" i="5"/>
  <c r="N4" i="5"/>
  <c r="E10" i="5"/>
  <c r="K18" i="5"/>
  <c r="F27" i="5"/>
  <c r="L32" i="5"/>
  <c r="O40" i="5"/>
  <c r="E48" i="5"/>
  <c r="H55" i="5"/>
  <c r="L61" i="5"/>
  <c r="E68" i="5"/>
  <c r="N74" i="5"/>
  <c r="W16" i="5"/>
  <c r="J73" i="5"/>
  <c r="L75" i="5"/>
  <c r="H73" i="5"/>
  <c r="M70" i="5"/>
  <c r="I67" i="5"/>
  <c r="M64" i="5"/>
  <c r="N61" i="5"/>
  <c r="N58" i="5"/>
  <c r="Q55" i="5"/>
  <c r="P52" i="5"/>
  <c r="J49" i="5"/>
  <c r="K46" i="5"/>
  <c r="I43" i="5"/>
  <c r="L39" i="5"/>
  <c r="I36" i="5"/>
  <c r="M32" i="5"/>
  <c r="P28" i="5"/>
  <c r="E25" i="5"/>
  <c r="P21" i="5"/>
  <c r="F17" i="5"/>
  <c r="J13" i="5"/>
  <c r="F10" i="5"/>
  <c r="I6" i="5"/>
  <c r="T75" i="5"/>
  <c r="T71" i="5"/>
  <c r="U66" i="5"/>
  <c r="U62" i="5"/>
  <c r="U58" i="5"/>
  <c r="V53" i="5"/>
  <c r="V49" i="5"/>
  <c r="V45" i="5"/>
  <c r="V40" i="5"/>
  <c r="U36" i="5"/>
  <c r="T31" i="5"/>
  <c r="X26" i="5"/>
  <c r="W21" i="5"/>
  <c r="V17" i="5"/>
  <c r="U12" i="5"/>
  <c r="U8" i="5"/>
  <c r="T4" i="5"/>
  <c r="W2" i="5"/>
  <c r="C3" i="5"/>
  <c r="D4" i="5"/>
  <c r="E5" i="5"/>
  <c r="F6" i="5"/>
  <c r="G7" i="5"/>
  <c r="H8" i="5"/>
  <c r="I9" i="5"/>
  <c r="J10" i="5"/>
  <c r="K11" i="5"/>
  <c r="L12" i="5"/>
  <c r="M13" i="5"/>
  <c r="N14" i="5"/>
  <c r="O15" i="5"/>
  <c r="P16" i="5"/>
  <c r="Q17" i="5"/>
  <c r="C19" i="5"/>
  <c r="D20" i="5"/>
  <c r="E21" i="5"/>
  <c r="F22" i="5"/>
  <c r="G23" i="5"/>
  <c r="H24" i="5"/>
  <c r="I25" i="5"/>
  <c r="J26" i="5"/>
  <c r="K27" i="5"/>
  <c r="L28" i="5"/>
  <c r="M29" i="5"/>
  <c r="N30" i="5"/>
  <c r="O31" i="5"/>
  <c r="P32" i="5"/>
  <c r="Q33" i="5"/>
  <c r="C35" i="5"/>
  <c r="D36" i="5"/>
  <c r="E37" i="5"/>
  <c r="F38" i="5"/>
  <c r="G39" i="5"/>
  <c r="H40" i="5"/>
  <c r="I41" i="5"/>
  <c r="J42" i="5"/>
  <c r="K43" i="5"/>
  <c r="L44" i="5"/>
  <c r="M45" i="5"/>
  <c r="N46" i="5"/>
  <c r="O47" i="5"/>
  <c r="P48" i="5"/>
  <c r="Q49" i="5"/>
  <c r="C51" i="5"/>
  <c r="D52" i="5"/>
  <c r="E53" i="5"/>
  <c r="F54" i="5"/>
  <c r="G55" i="5"/>
  <c r="H56" i="5"/>
  <c r="I57" i="5"/>
  <c r="J58" i="5"/>
  <c r="K59" i="5"/>
  <c r="L60" i="5"/>
  <c r="M61" i="5"/>
  <c r="N62" i="5"/>
  <c r="O63" i="5"/>
  <c r="P64" i="5"/>
  <c r="Q65" i="5"/>
  <c r="C67" i="5"/>
  <c r="D68" i="5"/>
  <c r="E69" i="5"/>
  <c r="F70" i="5"/>
  <c r="G71" i="5"/>
  <c r="H72" i="5"/>
  <c r="I73" i="5"/>
  <c r="J74" i="5"/>
  <c r="K75" i="5"/>
  <c r="G6" i="5"/>
  <c r="O14" i="5"/>
  <c r="Q16" i="5"/>
  <c r="D19" i="5"/>
  <c r="E20" i="5"/>
  <c r="G22" i="5"/>
  <c r="I24" i="5"/>
  <c r="J25" i="5"/>
  <c r="L27" i="5"/>
  <c r="M28" i="5"/>
  <c r="O30" i="5"/>
  <c r="Q32" i="5"/>
  <c r="D35" i="5"/>
  <c r="E36" i="5"/>
  <c r="F37" i="5"/>
  <c r="H39" i="5"/>
  <c r="D3" i="5"/>
  <c r="E4" i="5"/>
  <c r="F5" i="5"/>
  <c r="H7" i="5"/>
  <c r="I8" i="5"/>
  <c r="J9" i="5"/>
  <c r="K10" i="5"/>
  <c r="L11" i="5"/>
  <c r="M12" i="5"/>
  <c r="N13" i="5"/>
  <c r="P15" i="5"/>
  <c r="C18" i="5"/>
  <c r="F21" i="5"/>
  <c r="H23" i="5"/>
  <c r="K26" i="5"/>
  <c r="N29" i="5"/>
  <c r="P31" i="5"/>
  <c r="C34" i="5"/>
  <c r="G38" i="5"/>
  <c r="E3" i="5"/>
  <c r="F4" i="5"/>
  <c r="G5" i="5"/>
  <c r="H6" i="5"/>
  <c r="I7" i="5"/>
  <c r="J8" i="5"/>
  <c r="K9" i="5"/>
  <c r="L10" i="5"/>
  <c r="M11" i="5"/>
  <c r="N12" i="5"/>
  <c r="O13" i="5"/>
  <c r="P14" i="5"/>
  <c r="Q15" i="5"/>
  <c r="C17" i="5"/>
  <c r="D18" i="5"/>
  <c r="E19" i="5"/>
  <c r="F20" i="5"/>
  <c r="G21" i="5"/>
  <c r="H22" i="5"/>
  <c r="I23" i="5"/>
  <c r="J24" i="5"/>
  <c r="K25" i="5"/>
  <c r="L26" i="5"/>
  <c r="M27" i="5"/>
  <c r="N28" i="5"/>
  <c r="O29" i="5"/>
  <c r="P30" i="5"/>
  <c r="Q31" i="5"/>
  <c r="C33" i="5"/>
  <c r="D34" i="5"/>
  <c r="E35" i="5"/>
  <c r="F36" i="5"/>
  <c r="G37" i="5"/>
  <c r="H38" i="5"/>
  <c r="I39" i="5"/>
  <c r="J40" i="5"/>
  <c r="K41" i="5"/>
  <c r="L42" i="5"/>
  <c r="M43" i="5"/>
  <c r="N44" i="5"/>
  <c r="O45" i="5"/>
  <c r="P46" i="5"/>
  <c r="Q47" i="5"/>
  <c r="C49" i="5"/>
  <c r="D50" i="5"/>
  <c r="E51" i="5"/>
  <c r="F52" i="5"/>
  <c r="G53" i="5"/>
  <c r="H54" i="5"/>
  <c r="I55" i="5"/>
  <c r="J56" i="5"/>
  <c r="K57" i="5"/>
  <c r="L58" i="5"/>
  <c r="M59" i="5"/>
  <c r="N60" i="5"/>
  <c r="O61" i="5"/>
  <c r="P62" i="5"/>
  <c r="Q63" i="5"/>
  <c r="C65" i="5"/>
  <c r="D66" i="5"/>
  <c r="E67" i="5"/>
  <c r="F68" i="5"/>
  <c r="G69" i="5"/>
  <c r="H70" i="5"/>
  <c r="I71" i="5"/>
  <c r="J72" i="5"/>
  <c r="F3" i="5"/>
  <c r="J4" i="5"/>
  <c r="N5" i="5"/>
  <c r="C7" i="5"/>
  <c r="G8" i="5"/>
  <c r="N9" i="5"/>
  <c r="C11" i="5"/>
  <c r="G12" i="5"/>
  <c r="K13" i="5"/>
  <c r="C15" i="5"/>
  <c r="G16" i="5"/>
  <c r="K17" i="5"/>
  <c r="O18" i="5"/>
  <c r="G20" i="5"/>
  <c r="K21" i="5"/>
  <c r="O22" i="5"/>
  <c r="D24" i="5"/>
  <c r="H25" i="5"/>
  <c r="O26" i="5"/>
  <c r="D28" i="5"/>
  <c r="H29" i="5"/>
  <c r="L30" i="5"/>
  <c r="D32" i="5"/>
  <c r="H33" i="5"/>
  <c r="L34" i="5"/>
  <c r="P35" i="5"/>
  <c r="H37" i="5"/>
  <c r="L38" i="5"/>
  <c r="P39" i="5"/>
  <c r="D41" i="5"/>
  <c r="G42" i="5"/>
  <c r="J43" i="5"/>
  <c r="O44" i="5"/>
  <c r="C46" i="5"/>
  <c r="F47" i="5"/>
  <c r="I48" i="5"/>
  <c r="L49" i="5"/>
  <c r="O50" i="5"/>
  <c r="C52" i="5"/>
  <c r="H53" i="5"/>
  <c r="K54" i="5"/>
  <c r="N55" i="5"/>
  <c r="Q56" i="5"/>
  <c r="E58" i="5"/>
  <c r="H59" i="5"/>
  <c r="K60" i="5"/>
  <c r="P61" i="5"/>
  <c r="D63" i="5"/>
  <c r="G64" i="5"/>
  <c r="J65" i="5"/>
  <c r="M66" i="5"/>
  <c r="P67" i="5"/>
  <c r="D69" i="5"/>
  <c r="I70" i="5"/>
  <c r="L71" i="5"/>
  <c r="O72" i="5"/>
  <c r="Q73" i="5"/>
  <c r="D75" i="5"/>
  <c r="G3" i="5"/>
  <c r="K4" i="5"/>
  <c r="O5" i="5"/>
  <c r="D7" i="5"/>
  <c r="K8" i="5"/>
  <c r="O9" i="5"/>
  <c r="D11" i="5"/>
  <c r="H12" i="5"/>
  <c r="L13" i="5"/>
  <c r="D15" i="5"/>
  <c r="H16" i="5"/>
  <c r="L17" i="5"/>
  <c r="P18" i="5"/>
  <c r="H20" i="5"/>
  <c r="L21" i="5"/>
  <c r="P22" i="5"/>
  <c r="E24" i="5"/>
  <c r="L25" i="5"/>
  <c r="P26" i="5"/>
  <c r="E28" i="5"/>
  <c r="I29" i="5"/>
  <c r="M30" i="5"/>
  <c r="E32" i="5"/>
  <c r="I33" i="5"/>
  <c r="M34" i="5"/>
  <c r="Q35" i="5"/>
  <c r="I37" i="5"/>
  <c r="M38" i="5"/>
  <c r="Q39" i="5"/>
  <c r="E41" i="5"/>
  <c r="H42" i="5"/>
  <c r="L43" i="5"/>
  <c r="P44" i="5"/>
  <c r="D46" i="5"/>
  <c r="G47" i="5"/>
  <c r="J48" i="5"/>
  <c r="M49" i="5"/>
  <c r="P50" i="5"/>
  <c r="E52" i="5"/>
  <c r="I53" i="5"/>
  <c r="L54" i="5"/>
  <c r="O55" i="5"/>
  <c r="C57" i="5"/>
  <c r="F58" i="5"/>
  <c r="I59" i="5"/>
  <c r="M60" i="5"/>
  <c r="Q61" i="5"/>
  <c r="E63" i="5"/>
  <c r="H64" i="5"/>
  <c r="K65" i="5"/>
  <c r="N66" i="5"/>
  <c r="Q67" i="5"/>
  <c r="F69" i="5"/>
  <c r="J70" i="5"/>
  <c r="M71" i="5"/>
  <c r="P72" i="5"/>
  <c r="C74" i="5"/>
  <c r="E75" i="5"/>
  <c r="H3" i="5"/>
  <c r="L4" i="5"/>
  <c r="P5" i="5"/>
  <c r="E7" i="5"/>
  <c r="L8" i="5"/>
  <c r="P9" i="5"/>
  <c r="E11" i="5"/>
  <c r="I12" i="5"/>
  <c r="P13" i="5"/>
  <c r="E15" i="5"/>
  <c r="I16" i="5"/>
  <c r="M17" i="5"/>
  <c r="Q18" i="5"/>
  <c r="I20" i="5"/>
  <c r="M21" i="5"/>
  <c r="Q22" i="5"/>
  <c r="F24" i="5"/>
  <c r="M25" i="5"/>
  <c r="Q26" i="5"/>
  <c r="F28" i="5"/>
  <c r="J29" i="5"/>
  <c r="Q30" i="5"/>
  <c r="F32" i="5"/>
  <c r="J33" i="5"/>
  <c r="N34" i="5"/>
  <c r="C36" i="5"/>
  <c r="J37" i="5"/>
  <c r="N38" i="5"/>
  <c r="C40" i="5"/>
  <c r="F41" i="5"/>
  <c r="I42" i="5"/>
  <c r="N43" i="5"/>
  <c r="Q44" i="5"/>
  <c r="E46" i="5"/>
  <c r="H47" i="5"/>
  <c r="K48" i="5"/>
  <c r="N49" i="5"/>
  <c r="Q50" i="5"/>
  <c r="G52" i="5"/>
  <c r="J53" i="5"/>
  <c r="M54" i="5"/>
  <c r="P55" i="5"/>
  <c r="D57" i="5"/>
  <c r="G58" i="5"/>
  <c r="J59" i="5"/>
  <c r="O60" i="5"/>
  <c r="C62" i="5"/>
  <c r="F63" i="5"/>
  <c r="I64" i="5"/>
  <c r="L65" i="5"/>
  <c r="O66" i="5"/>
  <c r="C68" i="5"/>
  <c r="H69" i="5"/>
  <c r="K70" i="5"/>
  <c r="N71" i="5"/>
  <c r="Q72" i="5"/>
  <c r="D74" i="5"/>
  <c r="F75" i="5"/>
  <c r="I3" i="5"/>
  <c r="M4" i="5"/>
  <c r="Q5" i="5"/>
  <c r="F7" i="5"/>
  <c r="M8" i="5"/>
  <c r="Q9" i="5"/>
  <c r="F11" i="5"/>
  <c r="J12" i="5"/>
  <c r="Q13" i="5"/>
  <c r="F15" i="5"/>
  <c r="J16" i="5"/>
  <c r="N17" i="5"/>
  <c r="F19" i="5"/>
  <c r="J20" i="5"/>
  <c r="N21" i="5"/>
  <c r="C23" i="5"/>
  <c r="G24" i="5"/>
  <c r="N25" i="5"/>
  <c r="C27" i="5"/>
  <c r="G28" i="5"/>
  <c r="K29" i="5"/>
  <c r="C31" i="5"/>
  <c r="G32" i="5"/>
  <c r="K33" i="5"/>
  <c r="O34" i="5"/>
  <c r="G36" i="5"/>
  <c r="K37" i="5"/>
  <c r="G73" i="5"/>
  <c r="E70" i="5"/>
  <c r="O65" i="5"/>
  <c r="G61" i="5"/>
  <c r="N56" i="5"/>
  <c r="I52" i="5"/>
  <c r="H46" i="5"/>
  <c r="O41" i="5"/>
  <c r="H35" i="5"/>
  <c r="D30" i="5"/>
  <c r="O24" i="5"/>
  <c r="O17" i="5"/>
  <c r="J7" i="5"/>
  <c r="F73" i="5"/>
  <c r="G67" i="5"/>
  <c r="L62" i="5"/>
  <c r="D58" i="5"/>
  <c r="N53" i="5"/>
  <c r="L50" i="5"/>
  <c r="G46" i="5"/>
  <c r="E43" i="5"/>
  <c r="K38" i="5"/>
  <c r="G35" i="5"/>
  <c r="K31" i="5"/>
  <c r="C28" i="5"/>
  <c r="N24" i="5"/>
  <c r="N22" i="5"/>
  <c r="J17" i="5"/>
  <c r="F14" i="5"/>
  <c r="M10" i="5"/>
  <c r="I5" i="5"/>
  <c r="E73" i="5"/>
  <c r="C70" i="5"/>
  <c r="F67" i="5"/>
  <c r="M65" i="5"/>
  <c r="K62" i="5"/>
  <c r="E61" i="5"/>
  <c r="N59" i="5"/>
  <c r="L56" i="5"/>
  <c r="D55" i="5"/>
  <c r="M53" i="5"/>
  <c r="Q51" i="5"/>
  <c r="K50" i="5"/>
  <c r="E49" i="5"/>
  <c r="L47" i="5"/>
  <c r="F46" i="5"/>
  <c r="J44" i="5"/>
  <c r="D43" i="5"/>
  <c r="M41" i="5"/>
  <c r="E40" i="5"/>
  <c r="J38" i="5"/>
  <c r="N36" i="5"/>
  <c r="F35" i="5"/>
  <c r="F33" i="5"/>
  <c r="Q29" i="5"/>
  <c r="M22" i="5"/>
  <c r="Q20" i="5"/>
  <c r="I19" i="5"/>
  <c r="I17" i="5"/>
  <c r="M15" i="5"/>
  <c r="E14" i="5"/>
  <c r="E12" i="5"/>
  <c r="I10" i="5"/>
  <c r="P8" i="5"/>
  <c r="P6" i="5"/>
  <c r="H5" i="5"/>
  <c r="L3" i="5"/>
  <c r="P53" i="5"/>
  <c r="J52" i="5"/>
  <c r="N50" i="5"/>
  <c r="H49" i="5"/>
  <c r="P47" i="5"/>
  <c r="I46" i="5"/>
  <c r="C45" i="5"/>
  <c r="G43" i="5"/>
  <c r="P41" i="5"/>
  <c r="I40" i="5"/>
  <c r="P38" i="5"/>
  <c r="Q36" i="5"/>
  <c r="I35" i="5"/>
  <c r="M33" i="5"/>
  <c r="M31" i="5"/>
  <c r="E30" i="5"/>
  <c r="I28" i="5"/>
  <c r="I26" i="5"/>
  <c r="P24" i="5"/>
  <c r="E23" i="5"/>
  <c r="H21" i="5"/>
  <c r="L19" i="5"/>
  <c r="P17" i="5"/>
  <c r="D16" i="5"/>
  <c r="H14" i="5"/>
  <c r="O12" i="5"/>
  <c r="O10" i="5"/>
  <c r="D9" i="5"/>
  <c r="K7" i="5"/>
  <c r="K5" i="5"/>
  <c r="O3" i="5"/>
  <c r="M74" i="5"/>
  <c r="P71" i="5"/>
  <c r="N68" i="5"/>
  <c r="M62" i="5"/>
  <c r="H58" i="5"/>
  <c r="O53" i="5"/>
  <c r="G49" i="5"/>
  <c r="F43" i="5"/>
  <c r="P36" i="5"/>
  <c r="L31" i="5"/>
  <c r="H26" i="5"/>
  <c r="D21" i="5"/>
  <c r="G14" i="5"/>
  <c r="J5" i="5"/>
  <c r="Q75" i="5"/>
  <c r="D70" i="5"/>
  <c r="E64" i="5"/>
  <c r="O59" i="5"/>
  <c r="E55" i="5"/>
  <c r="F49" i="5"/>
  <c r="K44" i="5"/>
  <c r="N41" i="5"/>
  <c r="O36" i="5"/>
  <c r="G33" i="5"/>
  <c r="C30" i="5"/>
  <c r="G26" i="5"/>
  <c r="C21" i="5"/>
  <c r="N15" i="5"/>
  <c r="F12" i="5"/>
  <c r="Q8" i="5"/>
  <c r="Q6" i="5"/>
  <c r="M3" i="5"/>
  <c r="P75" i="5"/>
  <c r="K74" i="5"/>
  <c r="K71" i="5"/>
  <c r="L68" i="5"/>
  <c r="D64" i="5"/>
  <c r="C58" i="5"/>
  <c r="F64" i="5"/>
  <c r="P59" i="5"/>
  <c r="F55" i="5"/>
  <c r="M50" i="5"/>
  <c r="N47" i="5"/>
  <c r="M44" i="5"/>
  <c r="G40" i="5"/>
  <c r="O38" i="5"/>
  <c r="L33" i="5"/>
  <c r="H28" i="5"/>
  <c r="D23" i="5"/>
  <c r="K19" i="5"/>
  <c r="C16" i="5"/>
  <c r="K12" i="5"/>
  <c r="N10" i="5"/>
  <c r="C9" i="5"/>
  <c r="N3" i="5"/>
  <c r="L74" i="5"/>
  <c r="O71" i="5"/>
  <c r="M68" i="5"/>
  <c r="N65" i="5"/>
  <c r="F61" i="5"/>
  <c r="M56" i="5"/>
  <c r="H52" i="5"/>
  <c r="M47" i="5"/>
  <c r="F40" i="5"/>
  <c r="J19" i="5"/>
  <c r="J31" i="5"/>
  <c r="Q27" i="5"/>
  <c r="F26" i="5"/>
  <c r="M24" i="5"/>
  <c r="O75" i="5"/>
  <c r="I74" i="5"/>
  <c r="D73" i="5"/>
  <c r="J71" i="5"/>
  <c r="Q69" i="5"/>
  <c r="K68" i="5"/>
  <c r="D67" i="5"/>
  <c r="I65" i="5"/>
  <c r="C64" i="5"/>
  <c r="J62" i="5"/>
  <c r="D61" i="5"/>
  <c r="L59" i="5"/>
  <c r="Q57" i="5"/>
  <c r="K56" i="5"/>
  <c r="C55" i="5"/>
  <c r="L53" i="5"/>
  <c r="P51" i="5"/>
  <c r="J50" i="5"/>
  <c r="D49" i="5"/>
  <c r="K47" i="5"/>
  <c r="Q45" i="5"/>
  <c r="I44" i="5"/>
  <c r="C43" i="5"/>
  <c r="L41" i="5"/>
  <c r="D40" i="5"/>
  <c r="I38" i="5"/>
  <c r="M36" i="5"/>
  <c r="Q34" i="5"/>
  <c r="E33" i="5"/>
  <c r="I31" i="5"/>
  <c r="P29" i="5"/>
  <c r="P27" i="5"/>
  <c r="E26" i="5"/>
  <c r="L24" i="5"/>
  <c r="L22" i="5"/>
  <c r="P20" i="5"/>
  <c r="H19" i="5"/>
  <c r="H17" i="5"/>
  <c r="L15" i="5"/>
  <c r="D14" i="5"/>
  <c r="D12" i="5"/>
  <c r="H10" i="5"/>
  <c r="O8" i="5"/>
  <c r="O6" i="5"/>
  <c r="D5" i="5"/>
  <c r="K3" i="5"/>
  <c r="N75" i="5"/>
  <c r="H74" i="5"/>
  <c r="C73" i="5"/>
  <c r="H71" i="5"/>
  <c r="P69" i="5"/>
  <c r="J68" i="5"/>
  <c r="Q66" i="5"/>
  <c r="H65" i="5"/>
  <c r="P63" i="5"/>
  <c r="I62" i="5"/>
  <c r="C61" i="5"/>
  <c r="G59" i="5"/>
  <c r="P57" i="5"/>
  <c r="I56" i="5"/>
  <c r="Q54" i="5"/>
  <c r="K53" i="5"/>
  <c r="O51" i="5"/>
  <c r="I50" i="5"/>
  <c r="Q48" i="5"/>
  <c r="J47" i="5"/>
  <c r="P45" i="5"/>
  <c r="H44" i="5"/>
  <c r="Q42" i="5"/>
  <c r="J41" i="5"/>
  <c r="O39" i="5"/>
  <c r="E38" i="5"/>
  <c r="L36" i="5"/>
  <c r="P34" i="5"/>
  <c r="D33" i="5"/>
  <c r="H31" i="5"/>
  <c r="L29" i="5"/>
  <c r="O27" i="5"/>
  <c r="D26" i="5"/>
  <c r="K24" i="5"/>
  <c r="K22" i="5"/>
  <c r="O20" i="5"/>
  <c r="G19" i="5"/>
  <c r="G17" i="5"/>
  <c r="K15" i="5"/>
  <c r="C14" i="5"/>
  <c r="C12" i="5"/>
  <c r="G10" i="5"/>
  <c r="N8" i="5"/>
  <c r="N6" i="5"/>
  <c r="C5" i="5"/>
  <c r="J3" i="5"/>
  <c r="X2" i="5"/>
  <c r="V2" i="5"/>
  <c r="U2" i="5"/>
  <c r="T2" i="5"/>
  <c r="Q2" i="5"/>
  <c r="P2" i="5"/>
  <c r="O2" i="5"/>
  <c r="N2" i="5"/>
  <c r="M2" i="5"/>
  <c r="L2" i="5"/>
  <c r="K2" i="5"/>
  <c r="J2" i="5"/>
  <c r="I2" i="5"/>
  <c r="H2" i="5"/>
  <c r="G2" i="5"/>
  <c r="X58" i="4"/>
  <c r="W58" i="4"/>
  <c r="F2" i="5"/>
  <c r="E2" i="5"/>
  <c r="U57" i="4"/>
  <c r="T40" i="4"/>
  <c r="X11" i="4"/>
  <c r="P43" i="4"/>
  <c r="X101" i="4"/>
  <c r="U87" i="4"/>
  <c r="F79" i="4"/>
  <c r="M57" i="4"/>
  <c r="G46" i="4"/>
  <c r="V11" i="4"/>
  <c r="L42" i="4"/>
  <c r="W101" i="4"/>
  <c r="T87" i="4"/>
  <c r="V58" i="4"/>
  <c r="X49" i="4"/>
  <c r="W11" i="4"/>
  <c r="O43" i="4"/>
  <c r="U11" i="4"/>
  <c r="T102" i="4"/>
  <c r="T86" i="4"/>
  <c r="I42" i="4"/>
  <c r="X85" i="4"/>
  <c r="W85" i="4"/>
  <c r="G42" i="4"/>
  <c r="G30" i="4"/>
  <c r="T31" i="4"/>
  <c r="V110" i="4"/>
  <c r="X30" i="4"/>
  <c r="T108" i="4"/>
  <c r="W30" i="4"/>
  <c r="X107" i="4"/>
  <c r="V30" i="4"/>
  <c r="W107" i="4"/>
  <c r="U30" i="4"/>
  <c r="L84" i="4"/>
  <c r="U103" i="4"/>
  <c r="U59" i="4"/>
  <c r="U12" i="4"/>
  <c r="H42" i="4"/>
  <c r="Q97" i="4"/>
  <c r="V85" i="4"/>
  <c r="P97" i="4"/>
  <c r="T78" i="4"/>
  <c r="O97" i="4"/>
  <c r="X77" i="4"/>
  <c r="E88" i="4"/>
  <c r="W77" i="4"/>
  <c r="D85" i="4"/>
  <c r="X66" i="4"/>
  <c r="O84" i="4"/>
  <c r="W66" i="4"/>
  <c r="J79" i="4"/>
  <c r="T103" i="4"/>
  <c r="T59" i="4"/>
  <c r="T12" i="4"/>
  <c r="D2" i="5"/>
  <c r="K67" i="4"/>
  <c r="Q21" i="4"/>
  <c r="X94" i="4"/>
  <c r="U76" i="4"/>
  <c r="V49" i="4"/>
  <c r="N65" i="4"/>
  <c r="P21" i="4"/>
  <c r="W94" i="4"/>
  <c r="T76" i="4"/>
  <c r="U49" i="4"/>
  <c r="C22" i="4"/>
  <c r="T30" i="4"/>
  <c r="D104" i="4"/>
  <c r="M65" i="4"/>
  <c r="V94" i="4"/>
  <c r="W68" i="4"/>
  <c r="T49" i="4"/>
  <c r="U21" i="4"/>
  <c r="T100" i="4"/>
  <c r="C104" i="4"/>
  <c r="L64" i="4"/>
  <c r="I18" i="4"/>
  <c r="U94" i="4"/>
  <c r="V68" i="4"/>
  <c r="X48" i="4"/>
  <c r="T21" i="4"/>
  <c r="P77" i="4"/>
  <c r="W49" i="4"/>
  <c r="G98" i="4"/>
  <c r="K64" i="4"/>
  <c r="X110" i="4"/>
  <c r="T94" i="4"/>
  <c r="U68" i="4"/>
  <c r="V40" i="4"/>
  <c r="X20" i="4"/>
  <c r="V76" i="4"/>
  <c r="C98" i="4"/>
  <c r="J64" i="4"/>
  <c r="W110" i="4"/>
  <c r="X93" i="4"/>
  <c r="T68" i="4"/>
  <c r="U40" i="4"/>
  <c r="W20" i="4"/>
  <c r="C2" i="5"/>
  <c r="V107" i="4"/>
  <c r="W93" i="4"/>
  <c r="X75" i="4"/>
  <c r="T57" i="4"/>
  <c r="U39" i="4"/>
  <c r="T11" i="4"/>
  <c r="Q75" i="4"/>
  <c r="N41" i="4"/>
  <c r="U107" i="4"/>
  <c r="X56" i="4"/>
  <c r="D96" i="4"/>
  <c r="K57" i="4"/>
  <c r="W98" i="4"/>
  <c r="L109" i="4"/>
  <c r="J13" i="4"/>
  <c r="T36" i="4"/>
  <c r="D108" i="4"/>
  <c r="P33" i="4"/>
  <c r="U98" i="4"/>
  <c r="T63" i="4"/>
  <c r="W53" i="4"/>
  <c r="U44" i="4"/>
  <c r="T17" i="4"/>
  <c r="W7" i="4"/>
  <c r="M74" i="4"/>
  <c r="L7" i="4"/>
  <c r="T98" i="4"/>
  <c r="V53" i="4"/>
  <c r="M88" i="4"/>
  <c r="M31" i="4"/>
  <c r="T104" i="4"/>
  <c r="U90" i="4"/>
  <c r="V81" i="4"/>
  <c r="W62" i="4"/>
  <c r="U53" i="4"/>
  <c r="T25" i="4"/>
  <c r="U7" i="4"/>
  <c r="P67" i="4"/>
  <c r="K53" i="4"/>
  <c r="J30" i="4"/>
  <c r="V111" i="4"/>
  <c r="X103" i="4"/>
  <c r="W97" i="4"/>
  <c r="U89" i="4"/>
  <c r="U81" i="4"/>
  <c r="X71" i="4"/>
  <c r="V62" i="4"/>
  <c r="T53" i="4"/>
  <c r="U34" i="4"/>
  <c r="X24" i="4"/>
  <c r="V15" i="4"/>
  <c r="T6" i="4"/>
  <c r="H18" i="4"/>
  <c r="X99" i="4"/>
  <c r="U85" i="4"/>
  <c r="V66" i="4"/>
  <c r="W47" i="4"/>
  <c r="V20" i="4"/>
  <c r="E96" i="4"/>
  <c r="L57" i="4"/>
  <c r="D16" i="4"/>
  <c r="X98" i="4"/>
  <c r="U91" i="4"/>
  <c r="T85" i="4"/>
  <c r="W75" i="4"/>
  <c r="U66" i="4"/>
  <c r="V47" i="4"/>
  <c r="T38" i="4"/>
  <c r="U20" i="4"/>
  <c r="X10" i="4"/>
  <c r="P75" i="4"/>
  <c r="E34" i="4"/>
  <c r="T107" i="4"/>
  <c r="U82" i="4"/>
  <c r="V63" i="4"/>
  <c r="T54" i="4"/>
  <c r="W45" i="4"/>
  <c r="U36" i="4"/>
  <c r="V17" i="4"/>
  <c r="T8" i="4"/>
  <c r="O74" i="4"/>
  <c r="D34" i="4"/>
  <c r="X106" i="4"/>
  <c r="X90" i="4"/>
  <c r="X53" i="4"/>
  <c r="U17" i="4"/>
  <c r="D95" i="4"/>
  <c r="G57" i="4"/>
  <c r="W106" i="4"/>
  <c r="X81" i="4"/>
  <c r="V26" i="4"/>
  <c r="Q106" i="4"/>
  <c r="C55" i="4"/>
  <c r="W81" i="4"/>
  <c r="P106" i="4"/>
  <c r="L53" i="4"/>
  <c r="W111" i="4"/>
  <c r="X97" i="4"/>
  <c r="T72" i="4"/>
  <c r="W15" i="4"/>
  <c r="L88" i="4"/>
  <c r="D105" i="4"/>
  <c r="K88" i="4"/>
  <c r="O67" i="4"/>
  <c r="J51" i="4"/>
  <c r="I30" i="4"/>
  <c r="U111" i="4"/>
  <c r="W103" i="4"/>
  <c r="U95" i="4"/>
  <c r="T89" i="4"/>
  <c r="T81" i="4"/>
  <c r="W71" i="4"/>
  <c r="U62" i="4"/>
  <c r="X52" i="4"/>
  <c r="T34" i="4"/>
  <c r="W24" i="4"/>
  <c r="U15" i="4"/>
  <c r="N4" i="4"/>
  <c r="T3" i="4"/>
  <c r="U6" i="4"/>
  <c r="V9" i="4"/>
  <c r="W12" i="4"/>
  <c r="X15" i="4"/>
  <c r="T19" i="4"/>
  <c r="U22" i="4"/>
  <c r="V25" i="4"/>
  <c r="W28" i="4"/>
  <c r="X31" i="4"/>
  <c r="T35" i="4"/>
  <c r="U38" i="4"/>
  <c r="V41" i="4"/>
  <c r="W44" i="4"/>
  <c r="X47" i="4"/>
  <c r="T51" i="4"/>
  <c r="U54" i="4"/>
  <c r="V57" i="4"/>
  <c r="W60" i="4"/>
  <c r="X63" i="4"/>
  <c r="T67" i="4"/>
  <c r="U70" i="4"/>
  <c r="V73" i="4"/>
  <c r="W76" i="4"/>
  <c r="X79" i="4"/>
  <c r="T83" i="4"/>
  <c r="U86" i="4"/>
  <c r="V89" i="4"/>
  <c r="W92" i="4"/>
  <c r="X95" i="4"/>
  <c r="T99" i="4"/>
  <c r="U102" i="4"/>
  <c r="V105" i="4"/>
  <c r="W108" i="4"/>
  <c r="X111" i="4"/>
  <c r="I17" i="4"/>
  <c r="H26" i="4"/>
  <c r="M53" i="4"/>
  <c r="D61" i="4"/>
  <c r="D69" i="4"/>
  <c r="E78" i="4"/>
  <c r="G85" i="4"/>
  <c r="Q92" i="4"/>
  <c r="Q100" i="4"/>
  <c r="C107" i="4"/>
  <c r="J71" i="4"/>
  <c r="Q94" i="4"/>
  <c r="X3" i="4"/>
  <c r="U10" i="4"/>
  <c r="W16" i="4"/>
  <c r="X19" i="4"/>
  <c r="U26" i="4"/>
  <c r="T39" i="4"/>
  <c r="W48" i="4"/>
  <c r="U58" i="4"/>
  <c r="X67" i="4"/>
  <c r="U74" i="4"/>
  <c r="X83" i="4"/>
  <c r="U3" i="4"/>
  <c r="V6" i="4"/>
  <c r="W9" i="4"/>
  <c r="X12" i="4"/>
  <c r="T16" i="4"/>
  <c r="U19" i="4"/>
  <c r="V22" i="4"/>
  <c r="W25" i="4"/>
  <c r="X28" i="4"/>
  <c r="T32" i="4"/>
  <c r="U35" i="4"/>
  <c r="W41" i="4"/>
  <c r="X44" i="4"/>
  <c r="T48" i="4"/>
  <c r="U51" i="4"/>
  <c r="V54" i="4"/>
  <c r="W57" i="4"/>
  <c r="X60" i="4"/>
  <c r="T64" i="4"/>
  <c r="U67" i="4"/>
  <c r="V70" i="4"/>
  <c r="W73" i="4"/>
  <c r="X76" i="4"/>
  <c r="T80" i="4"/>
  <c r="U83" i="4"/>
  <c r="V86" i="4"/>
  <c r="W89" i="4"/>
  <c r="X92" i="4"/>
  <c r="T96" i="4"/>
  <c r="U99" i="4"/>
  <c r="V102" i="4"/>
  <c r="W105" i="4"/>
  <c r="X108" i="4"/>
  <c r="F7" i="4"/>
  <c r="J17" i="4"/>
  <c r="I26" i="4"/>
  <c r="K35" i="4"/>
  <c r="D46" i="4"/>
  <c r="N53" i="4"/>
  <c r="E62" i="4"/>
  <c r="D71" i="4"/>
  <c r="F78" i="4"/>
  <c r="H85" i="4"/>
  <c r="C93" i="4"/>
  <c r="C101" i="4"/>
  <c r="E107" i="4"/>
  <c r="D101" i="4"/>
  <c r="W3" i="4"/>
  <c r="X6" i="4"/>
  <c r="T10" i="4"/>
  <c r="U13" i="4"/>
  <c r="V16" i="4"/>
  <c r="W19" i="4"/>
  <c r="X22" i="4"/>
  <c r="T26" i="4"/>
  <c r="U29" i="4"/>
  <c r="T42" i="4"/>
  <c r="U45" i="4"/>
  <c r="V48" i="4"/>
  <c r="W51" i="4"/>
  <c r="X54" i="4"/>
  <c r="T58" i="4"/>
  <c r="U61" i="4"/>
  <c r="V64" i="4"/>
  <c r="X70" i="4"/>
  <c r="T74" i="4"/>
  <c r="V80" i="4"/>
  <c r="X86" i="4"/>
  <c r="U93" i="4"/>
  <c r="V96" i="4"/>
  <c r="X102" i="4"/>
  <c r="U109" i="4"/>
  <c r="G18" i="4"/>
  <c r="F46" i="4"/>
  <c r="H64" i="4"/>
  <c r="E86" i="4"/>
  <c r="C108" i="4"/>
  <c r="V13" i="4"/>
  <c r="U42" i="4"/>
  <c r="T55" i="4"/>
  <c r="W64" i="4"/>
  <c r="V77" i="4"/>
  <c r="V3" i="4"/>
  <c r="W6" i="4"/>
  <c r="X9" i="4"/>
  <c r="T13" i="4"/>
  <c r="U16" i="4"/>
  <c r="V19" i="4"/>
  <c r="W22" i="4"/>
  <c r="X25" i="4"/>
  <c r="U32" i="4"/>
  <c r="X41" i="4"/>
  <c r="T45" i="4"/>
  <c r="U48" i="4"/>
  <c r="V51" i="4"/>
  <c r="W54" i="4"/>
  <c r="X57" i="4"/>
  <c r="T61" i="4"/>
  <c r="U64" i="4"/>
  <c r="V67" i="4"/>
  <c r="W70" i="4"/>
  <c r="X73" i="4"/>
  <c r="T77" i="4"/>
  <c r="U80" i="4"/>
  <c r="V83" i="4"/>
  <c r="W86" i="4"/>
  <c r="X89" i="4"/>
  <c r="T93" i="4"/>
  <c r="U96" i="4"/>
  <c r="V99" i="4"/>
  <c r="W102" i="4"/>
  <c r="X105" i="4"/>
  <c r="T109" i="4"/>
  <c r="J7" i="4"/>
  <c r="N17" i="4"/>
  <c r="N27" i="4"/>
  <c r="Q37" i="4"/>
  <c r="E46" i="4"/>
  <c r="C54" i="4"/>
  <c r="F62" i="4"/>
  <c r="E71" i="4"/>
  <c r="G78" i="4"/>
  <c r="D86" i="4"/>
  <c r="P94" i="4"/>
  <c r="F107" i="4"/>
  <c r="W67" i="4"/>
  <c r="U77" i="4"/>
  <c r="W83" i="4"/>
  <c r="T90" i="4"/>
  <c r="W99" i="4"/>
  <c r="T106" i="4"/>
  <c r="K7" i="4"/>
  <c r="O27" i="4"/>
  <c r="Q54" i="4"/>
  <c r="H78" i="4"/>
  <c r="E101" i="4"/>
  <c r="T7" i="4"/>
  <c r="T23" i="4"/>
  <c r="V45" i="4"/>
  <c r="X51" i="4"/>
  <c r="V61" i="4"/>
  <c r="T71" i="4"/>
  <c r="W80" i="4"/>
  <c r="T4" i="4"/>
  <c r="U8" i="4"/>
  <c r="V12" i="4"/>
  <c r="W17" i="4"/>
  <c r="T27" i="4"/>
  <c r="U31" i="4"/>
  <c r="W40" i="4"/>
  <c r="X45" i="4"/>
  <c r="T50" i="4"/>
  <c r="U55" i="4"/>
  <c r="V59" i="4"/>
  <c r="W63" i="4"/>
  <c r="X68" i="4"/>
  <c r="T73" i="4"/>
  <c r="U78" i="4"/>
  <c r="V82" i="4"/>
  <c r="V87" i="4"/>
  <c r="V91" i="4"/>
  <c r="V95" i="4"/>
  <c r="U100" i="4"/>
  <c r="U104" i="4"/>
  <c r="U108" i="4"/>
  <c r="D22" i="4"/>
  <c r="F34" i="4"/>
  <c r="K47" i="4"/>
  <c r="O58" i="4"/>
  <c r="Q67" i="4"/>
  <c r="I81" i="4"/>
  <c r="O89" i="4"/>
  <c r="C99" i="4"/>
  <c r="M109" i="4"/>
  <c r="M91" i="4"/>
  <c r="W4" i="4"/>
  <c r="T14" i="4"/>
  <c r="U18" i="4"/>
  <c r="V23" i="4"/>
  <c r="W27" i="4"/>
  <c r="U41" i="4"/>
  <c r="W50" i="4"/>
  <c r="X55" i="4"/>
  <c r="T60" i="4"/>
  <c r="V69" i="4"/>
  <c r="X78" i="4"/>
  <c r="T84" i="4"/>
  <c r="X96" i="4"/>
  <c r="W109" i="4"/>
  <c r="Q25" i="4"/>
  <c r="L71" i="4"/>
  <c r="P109" i="4"/>
  <c r="X27" i="4"/>
  <c r="V65" i="4"/>
  <c r="U84" i="4"/>
  <c r="T97" i="4"/>
  <c r="X109" i="4"/>
  <c r="C26" i="4"/>
  <c r="M72" i="4"/>
  <c r="F102" i="4"/>
  <c r="X23" i="4"/>
  <c r="V60" i="4"/>
  <c r="X69" i="4"/>
  <c r="U79" i="4"/>
  <c r="V88" i="4"/>
  <c r="U97" i="4"/>
  <c r="U101" i="4"/>
  <c r="D26" i="4"/>
  <c r="N103" i="4"/>
  <c r="W14" i="4"/>
  <c r="U52" i="4"/>
  <c r="T70" i="4"/>
  <c r="V79" i="4"/>
  <c r="W88" i="4"/>
  <c r="V93" i="4"/>
  <c r="U106" i="4"/>
  <c r="L29" i="4"/>
  <c r="I51" i="4"/>
  <c r="O82" i="4"/>
  <c r="U4" i="4"/>
  <c r="V8" i="4"/>
  <c r="W13" i="4"/>
  <c r="X17" i="4"/>
  <c r="T22" i="4"/>
  <c r="U27" i="4"/>
  <c r="V31" i="4"/>
  <c r="X40" i="4"/>
  <c r="T46" i="4"/>
  <c r="U50" i="4"/>
  <c r="V55" i="4"/>
  <c r="W59" i="4"/>
  <c r="X64" i="4"/>
  <c r="T69" i="4"/>
  <c r="U73" i="4"/>
  <c r="V78" i="4"/>
  <c r="W82" i="4"/>
  <c r="W87" i="4"/>
  <c r="W91" i="4"/>
  <c r="W95" i="4"/>
  <c r="V100" i="4"/>
  <c r="V104" i="4"/>
  <c r="V108" i="4"/>
  <c r="D9" i="4"/>
  <c r="E22" i="4"/>
  <c r="P49" i="4"/>
  <c r="P58" i="4"/>
  <c r="C69" i="4"/>
  <c r="J81" i="4"/>
  <c r="J91" i="4"/>
  <c r="D99" i="4"/>
  <c r="N109" i="4"/>
  <c r="K81" i="4"/>
  <c r="O109" i="4"/>
  <c r="T37" i="4"/>
  <c r="T88" i="4"/>
  <c r="X100" i="4"/>
  <c r="Q11" i="4"/>
  <c r="E50" i="4"/>
  <c r="L81" i="4"/>
  <c r="E102" i="4"/>
  <c r="T9" i="4"/>
  <c r="X50" i="4"/>
  <c r="U60" i="4"/>
  <c r="X74" i="4"/>
  <c r="U92" i="4"/>
  <c r="T105" i="4"/>
  <c r="H38" i="4"/>
  <c r="Q60" i="4"/>
  <c r="E92" i="4"/>
  <c r="T5" i="4"/>
  <c r="U9" i="4"/>
  <c r="V14" i="4"/>
  <c r="T28" i="4"/>
  <c r="U33" i="4"/>
  <c r="V37" i="4"/>
  <c r="W42" i="4"/>
  <c r="T52" i="4"/>
  <c r="W65" i="4"/>
  <c r="T75" i="4"/>
  <c r="V84" i="4"/>
  <c r="V92" i="4"/>
  <c r="U105" i="4"/>
  <c r="H13" i="4"/>
  <c r="G50" i="4"/>
  <c r="N82" i="4"/>
  <c r="O110" i="4"/>
  <c r="W61" i="4"/>
  <c r="V97" i="4"/>
  <c r="I13" i="4"/>
  <c r="I64" i="4"/>
  <c r="C95" i="4"/>
  <c r="V5" i="4"/>
  <c r="X14" i="4"/>
  <c r="T20" i="4"/>
  <c r="U24" i="4"/>
  <c r="V28" i="4"/>
  <c r="W33" i="4"/>
  <c r="X37" i="4"/>
  <c r="T43" i="4"/>
  <c r="V52" i="4"/>
  <c r="W56" i="4"/>
  <c r="T66" i="4"/>
  <c r="U71" i="4"/>
  <c r="X84" i="4"/>
  <c r="V4" i="4"/>
  <c r="W8" i="4"/>
  <c r="X13" i="4"/>
  <c r="T18" i="4"/>
  <c r="U23" i="4"/>
  <c r="V27" i="4"/>
  <c r="W31" i="4"/>
  <c r="T41" i="4"/>
  <c r="U46" i="4"/>
  <c r="V50" i="4"/>
  <c r="W55" i="4"/>
  <c r="X59" i="4"/>
  <c r="T65" i="4"/>
  <c r="U69" i="4"/>
  <c r="V74" i="4"/>
  <c r="W78" i="4"/>
  <c r="X82" i="4"/>
  <c r="X87" i="4"/>
  <c r="X91" i="4"/>
  <c r="W96" i="4"/>
  <c r="W100" i="4"/>
  <c r="W104" i="4"/>
  <c r="V109" i="4"/>
  <c r="P11" i="4"/>
  <c r="K23" i="4"/>
  <c r="D38" i="4"/>
  <c r="D50" i="4"/>
  <c r="O60" i="4"/>
  <c r="K71" i="4"/>
  <c r="F101" i="4"/>
  <c r="X8" i="4"/>
  <c r="U65" i="4"/>
  <c r="W74" i="4"/>
  <c r="T92" i="4"/>
  <c r="X104" i="4"/>
  <c r="E38" i="4"/>
  <c r="P60" i="4"/>
  <c r="N91" i="4"/>
  <c r="X4" i="4"/>
  <c r="U14" i="4"/>
  <c r="W23" i="4"/>
  <c r="T33" i="4"/>
  <c r="U37" i="4"/>
  <c r="V42" i="4"/>
  <c r="T56" i="4"/>
  <c r="W69" i="4"/>
  <c r="T79" i="4"/>
  <c r="U88" i="4"/>
  <c r="T101" i="4"/>
  <c r="C12" i="4"/>
  <c r="F50" i="4"/>
  <c r="M81" i="4"/>
  <c r="N110" i="4"/>
  <c r="U56" i="4"/>
  <c r="T110" i="4"/>
  <c r="K39" i="4"/>
  <c r="C61" i="4"/>
  <c r="F92" i="4"/>
  <c r="U5" i="4"/>
  <c r="V10" i="4"/>
  <c r="T24" i="4"/>
  <c r="U28" i="4"/>
  <c r="V33" i="4"/>
  <c r="W37" i="4"/>
  <c r="X42" i="4"/>
  <c r="T47" i="4"/>
  <c r="V56" i="4"/>
  <c r="X65" i="4"/>
  <c r="U75" i="4"/>
  <c r="W84" i="4"/>
  <c r="V101" i="4"/>
  <c r="U110" i="4"/>
  <c r="O39" i="4"/>
  <c r="I74" i="4"/>
  <c r="O103" i="4"/>
  <c r="W10" i="4"/>
  <c r="U47" i="4"/>
  <c r="X61" i="4"/>
  <c r="V75" i="4"/>
  <c r="W79" i="4"/>
  <c r="Q13" i="4"/>
  <c r="T91" i="4"/>
  <c r="X26" i="4"/>
  <c r="E95" i="4"/>
  <c r="H57" i="4"/>
  <c r="V98" i="4"/>
  <c r="T82" i="4"/>
  <c r="U63" i="4"/>
  <c r="V44" i="4"/>
  <c r="W26" i="4"/>
  <c r="X7" i="4"/>
  <c r="N74" i="4"/>
  <c r="M7" i="4"/>
  <c r="W90" i="4"/>
  <c r="N89" i="4"/>
  <c r="N31" i="4"/>
  <c r="V106" i="4"/>
  <c r="V90" i="4"/>
  <c r="U72" i="4"/>
  <c r="X62" i="4"/>
  <c r="T44" i="4"/>
  <c r="U25" i="4"/>
  <c r="X16" i="4"/>
  <c r="V7" i="4"/>
  <c r="L74" i="4"/>
  <c r="E105" i="4"/>
  <c r="E104" i="4"/>
  <c r="F88" i="4"/>
  <c r="N67" i="4"/>
  <c r="J47" i="4"/>
  <c r="H30" i="4"/>
  <c r="T111" i="4"/>
  <c r="V103" i="4"/>
  <c r="T95" i="4"/>
  <c r="X88" i="4"/>
  <c r="X80" i="4"/>
  <c r="V71" i="4"/>
  <c r="T62" i="4"/>
  <c r="W52" i="4"/>
  <c r="U43" i="4"/>
  <c r="X33" i="4"/>
  <c r="V24" i="4"/>
  <c r="T15" i="4"/>
  <c r="W5" i="4"/>
  <c r="K109" i="4"/>
  <c r="O106" i="4"/>
  <c r="M103" i="4"/>
  <c r="P100" i="4"/>
  <c r="N97" i="4"/>
  <c r="O94" i="4"/>
  <c r="I91" i="4"/>
  <c r="D88" i="4"/>
  <c r="K84" i="4"/>
  <c r="H81" i="4"/>
  <c r="O77" i="4"/>
  <c r="H74" i="4"/>
  <c r="O70" i="4"/>
  <c r="J67" i="4"/>
  <c r="G64" i="4"/>
  <c r="N60" i="4"/>
  <c r="F57" i="4"/>
  <c r="J53" i="4"/>
  <c r="O49" i="4"/>
  <c r="Q45" i="4"/>
  <c r="M41" i="4"/>
  <c r="P37" i="4"/>
  <c r="O33" i="4"/>
  <c r="P25" i="4"/>
  <c r="N21" i="4"/>
  <c r="C16" i="4"/>
  <c r="O11" i="4"/>
  <c r="Q6" i="4"/>
  <c r="J109" i="4"/>
  <c r="L103" i="4"/>
  <c r="M97" i="4"/>
  <c r="H91" i="4"/>
  <c r="J84" i="4"/>
  <c r="L77" i="4"/>
  <c r="N70" i="4"/>
  <c r="N63" i="4"/>
  <c r="E57" i="4"/>
  <c r="N49" i="4"/>
  <c r="N33" i="4"/>
  <c r="O25" i="4"/>
  <c r="N15" i="4"/>
  <c r="P6" i="4"/>
  <c r="J106" i="4"/>
  <c r="L97" i="4"/>
  <c r="Q87" i="4"/>
  <c r="K77" i="4"/>
  <c r="H67" i="4"/>
  <c r="J60" i="4"/>
  <c r="M49" i="4"/>
  <c r="N37" i="4"/>
  <c r="N25" i="4"/>
  <c r="K5" i="4"/>
  <c r="K108" i="4"/>
  <c r="O99" i="4"/>
  <c r="F90" i="4"/>
  <c r="E80" i="4"/>
  <c r="O69" i="4"/>
  <c r="Q55" i="4"/>
  <c r="F40" i="4"/>
  <c r="F28" i="4"/>
  <c r="J5" i="4"/>
  <c r="M105" i="4"/>
  <c r="M93" i="4"/>
  <c r="G83" i="4"/>
  <c r="D73" i="4"/>
  <c r="H59" i="4"/>
  <c r="J48" i="4"/>
  <c r="J36" i="4"/>
  <c r="K15" i="4"/>
  <c r="D111" i="4"/>
  <c r="J102" i="4"/>
  <c r="D90" i="4"/>
  <c r="C80" i="4"/>
  <c r="J69" i="4"/>
  <c r="G59" i="4"/>
  <c r="I48" i="4"/>
  <c r="D40" i="4"/>
  <c r="I36" i="4"/>
  <c r="D28" i="4"/>
  <c r="P19" i="4"/>
  <c r="H9" i="4"/>
  <c r="C111" i="4"/>
  <c r="H105" i="4"/>
  <c r="J99" i="4"/>
  <c r="H96" i="4"/>
  <c r="M86" i="4"/>
  <c r="G76" i="4"/>
  <c r="Q72" i="4"/>
  <c r="D66" i="4"/>
  <c r="F59" i="4"/>
  <c r="N55" i="4"/>
  <c r="M51" i="4"/>
  <c r="D44" i="4"/>
  <c r="C40" i="4"/>
  <c r="H36" i="4"/>
  <c r="D32" i="4"/>
  <c r="C28" i="4"/>
  <c r="F24" i="4"/>
  <c r="O19" i="4"/>
  <c r="G9" i="4"/>
  <c r="O4" i="4"/>
  <c r="K103" i="4"/>
  <c r="M94" i="4"/>
  <c r="F81" i="4"/>
  <c r="M70" i="4"/>
  <c r="P56" i="4"/>
  <c r="J45" i="4"/>
  <c r="M33" i="4"/>
  <c r="M15" i="4"/>
  <c r="N105" i="4"/>
  <c r="M96" i="4"/>
  <c r="P86" i="4"/>
  <c r="O76" i="4"/>
  <c r="D63" i="4"/>
  <c r="F52" i="4"/>
  <c r="G44" i="4"/>
  <c r="J32" i="4"/>
  <c r="L15" i="4"/>
  <c r="I111" i="4"/>
  <c r="K102" i="4"/>
  <c r="L96" i="4"/>
  <c r="E90" i="4"/>
  <c r="D80" i="4"/>
  <c r="N69" i="4"/>
  <c r="C63" i="4"/>
  <c r="C52" i="4"/>
  <c r="F44" i="4"/>
  <c r="F32" i="4"/>
  <c r="J24" i="4"/>
  <c r="L9" i="4"/>
  <c r="I108" i="4"/>
  <c r="K99" i="4"/>
  <c r="K96" i="4"/>
  <c r="N86" i="4"/>
  <c r="H76" i="4"/>
  <c r="E66" i="4"/>
  <c r="Q51" i="4"/>
  <c r="J15" i="4"/>
  <c r="K93" i="4"/>
  <c r="M79" i="4"/>
  <c r="I62" i="4"/>
  <c r="E14" i="4"/>
  <c r="Q110" i="4"/>
  <c r="G108" i="4"/>
  <c r="G105" i="4"/>
  <c r="H102" i="4"/>
  <c r="F99" i="4"/>
  <c r="G96" i="4"/>
  <c r="J93" i="4"/>
  <c r="Q89" i="4"/>
  <c r="L86" i="4"/>
  <c r="Q82" i="4"/>
  <c r="L79" i="4"/>
  <c r="D76" i="4"/>
  <c r="P72" i="4"/>
  <c r="H69" i="4"/>
  <c r="P65" i="4"/>
  <c r="H62" i="4"/>
  <c r="C59" i="4"/>
  <c r="E55" i="4"/>
  <c r="L51" i="4"/>
  <c r="M47" i="4"/>
  <c r="C44" i="4"/>
  <c r="Q39" i="4"/>
  <c r="M35" i="4"/>
  <c r="C32" i="4"/>
  <c r="Q27" i="4"/>
  <c r="M23" i="4"/>
  <c r="N19" i="4"/>
  <c r="D14" i="4"/>
  <c r="F9" i="4"/>
  <c r="T2" i="4"/>
  <c r="C3" i="4"/>
  <c r="D4" i="4"/>
  <c r="E5" i="4"/>
  <c r="F6" i="4"/>
  <c r="G7" i="4"/>
  <c r="H8" i="4"/>
  <c r="I9" i="4"/>
  <c r="J10" i="4"/>
  <c r="K11" i="4"/>
  <c r="L12" i="4"/>
  <c r="M13" i="4"/>
  <c r="N14" i="4"/>
  <c r="O15" i="4"/>
  <c r="P16" i="4"/>
  <c r="Q17" i="4"/>
  <c r="C19" i="4"/>
  <c r="D20" i="4"/>
  <c r="E21" i="4"/>
  <c r="F22" i="4"/>
  <c r="G23" i="4"/>
  <c r="H24" i="4"/>
  <c r="I25" i="4"/>
  <c r="J26" i="4"/>
  <c r="K27" i="4"/>
  <c r="L28" i="4"/>
  <c r="N30" i="4"/>
  <c r="O31" i="4"/>
  <c r="P32" i="4"/>
  <c r="Q33" i="4"/>
  <c r="D36" i="4"/>
  <c r="E37" i="4"/>
  <c r="F38" i="4"/>
  <c r="G39" i="4"/>
  <c r="H40" i="4"/>
  <c r="I41" i="4"/>
  <c r="J42" i="4"/>
  <c r="K43" i="4"/>
  <c r="L44" i="4"/>
  <c r="M45" i="4"/>
  <c r="O47" i="4"/>
  <c r="P48" i="4"/>
  <c r="Q49" i="4"/>
  <c r="C51" i="4"/>
  <c r="D52" i="4"/>
  <c r="E53" i="4"/>
  <c r="F54" i="4"/>
  <c r="G55" i="4"/>
  <c r="H56" i="4"/>
  <c r="I57" i="4"/>
  <c r="J58" i="4"/>
  <c r="K59" i="4"/>
  <c r="L60" i="4"/>
  <c r="M61" i="4"/>
  <c r="N62" i="4"/>
  <c r="O63" i="4"/>
  <c r="P64" i="4"/>
  <c r="Q65" i="4"/>
  <c r="C67" i="4"/>
  <c r="D68" i="4"/>
  <c r="E69" i="4"/>
  <c r="F70" i="4"/>
  <c r="G71" i="4"/>
  <c r="H72" i="4"/>
  <c r="I73" i="4"/>
  <c r="J74" i="4"/>
  <c r="K75" i="4"/>
  <c r="L76" i="4"/>
  <c r="M77" i="4"/>
  <c r="N78" i="4"/>
  <c r="O79" i="4"/>
  <c r="P80" i="4"/>
  <c r="Q81" i="4"/>
  <c r="C83" i="4"/>
  <c r="D84" i="4"/>
  <c r="E85" i="4"/>
  <c r="F86" i="4"/>
  <c r="G87" i="4"/>
  <c r="H88" i="4"/>
  <c r="I89" i="4"/>
  <c r="J90" i="4"/>
  <c r="K91" i="4"/>
  <c r="L92" i="4"/>
  <c r="D3" i="4"/>
  <c r="E4" i="4"/>
  <c r="F5" i="4"/>
  <c r="G6" i="4"/>
  <c r="H7" i="4"/>
  <c r="I8" i="4"/>
  <c r="K10" i="4"/>
  <c r="L11" i="4"/>
  <c r="M12" i="4"/>
  <c r="N13" i="4"/>
  <c r="O14" i="4"/>
  <c r="P15" i="4"/>
  <c r="Q16" i="4"/>
  <c r="D19" i="4"/>
  <c r="E20" i="4"/>
  <c r="F21" i="4"/>
  <c r="G22" i="4"/>
  <c r="H23" i="4"/>
  <c r="I24" i="4"/>
  <c r="J25" i="4"/>
  <c r="K26" i="4"/>
  <c r="L27" i="4"/>
  <c r="M28" i="4"/>
  <c r="N29" i="4"/>
  <c r="O30" i="4"/>
  <c r="P31" i="4"/>
  <c r="Q32" i="4"/>
  <c r="C34" i="4"/>
  <c r="D35" i="4"/>
  <c r="E36" i="4"/>
  <c r="F37" i="4"/>
  <c r="G38" i="4"/>
  <c r="H39" i="4"/>
  <c r="I40" i="4"/>
  <c r="J41" i="4"/>
  <c r="K42" i="4"/>
  <c r="L43" i="4"/>
  <c r="M44" i="4"/>
  <c r="N45" i="4"/>
  <c r="O46" i="4"/>
  <c r="P47" i="4"/>
  <c r="Q48" i="4"/>
  <c r="C50" i="4"/>
  <c r="D51" i="4"/>
  <c r="E52" i="4"/>
  <c r="F53" i="4"/>
  <c r="G54" i="4"/>
  <c r="H55" i="4"/>
  <c r="I56" i="4"/>
  <c r="J57" i="4"/>
  <c r="K58" i="4"/>
  <c r="L59" i="4"/>
  <c r="M60" i="4"/>
  <c r="N61" i="4"/>
  <c r="O62" i="4"/>
  <c r="P63" i="4"/>
  <c r="Q64" i="4"/>
  <c r="C66" i="4"/>
  <c r="D67" i="4"/>
  <c r="E68" i="4"/>
  <c r="F69" i="4"/>
  <c r="G70" i="4"/>
  <c r="H71" i="4"/>
  <c r="I72" i="4"/>
  <c r="J73" i="4"/>
  <c r="K74" i="4"/>
  <c r="L75" i="4"/>
  <c r="M76" i="4"/>
  <c r="N77" i="4"/>
  <c r="O78" i="4"/>
  <c r="P79" i="4"/>
  <c r="Q80" i="4"/>
  <c r="C82" i="4"/>
  <c r="D83" i="4"/>
  <c r="E84" i="4"/>
  <c r="F85" i="4"/>
  <c r="G86" i="4"/>
  <c r="H87" i="4"/>
  <c r="I88" i="4"/>
  <c r="J89" i="4"/>
  <c r="K90" i="4"/>
  <c r="L91" i="4"/>
  <c r="M92" i="4"/>
  <c r="E3" i="4"/>
  <c r="F4" i="4"/>
  <c r="G5" i="4"/>
  <c r="H6" i="4"/>
  <c r="I7" i="4"/>
  <c r="J8" i="4"/>
  <c r="K9" i="4"/>
  <c r="L10" i="4"/>
  <c r="M11" i="4"/>
  <c r="N12" i="4"/>
  <c r="O13" i="4"/>
  <c r="P14" i="4"/>
  <c r="Q15" i="4"/>
  <c r="C17" i="4"/>
  <c r="D18" i="4"/>
  <c r="F3" i="4"/>
  <c r="J4" i="4"/>
  <c r="N5" i="4"/>
  <c r="C7" i="4"/>
  <c r="G8" i="4"/>
  <c r="C11" i="4"/>
  <c r="G12" i="4"/>
  <c r="K13" i="4"/>
  <c r="C15" i="4"/>
  <c r="G16" i="4"/>
  <c r="K17" i="4"/>
  <c r="C20" i="4"/>
  <c r="H21" i="4"/>
  <c r="K22" i="4"/>
  <c r="N23" i="4"/>
  <c r="Q24" i="4"/>
  <c r="E26" i="4"/>
  <c r="H27" i="4"/>
  <c r="K28" i="4"/>
  <c r="P29" i="4"/>
  <c r="D31" i="4"/>
  <c r="G32" i="4"/>
  <c r="J33" i="4"/>
  <c r="M34" i="4"/>
  <c r="P35" i="4"/>
  <c r="D37" i="4"/>
  <c r="I38" i="4"/>
  <c r="L39" i="4"/>
  <c r="O40" i="4"/>
  <c r="C42" i="4"/>
  <c r="F43" i="4"/>
  <c r="I44" i="4"/>
  <c r="L45" i="4"/>
  <c r="Q46" i="4"/>
  <c r="E48" i="4"/>
  <c r="H49" i="4"/>
  <c r="K50" i="4"/>
  <c r="N51" i="4"/>
  <c r="Q52" i="4"/>
  <c r="E54" i="4"/>
  <c r="J55" i="4"/>
  <c r="M56" i="4"/>
  <c r="P57" i="4"/>
  <c r="D59" i="4"/>
  <c r="G60" i="4"/>
  <c r="J61" i="4"/>
  <c r="M62" i="4"/>
  <c r="C64" i="4"/>
  <c r="F65" i="4"/>
  <c r="I66" i="4"/>
  <c r="L67" i="4"/>
  <c r="O68" i="4"/>
  <c r="C70" i="4"/>
  <c r="F71" i="4"/>
  <c r="K72" i="4"/>
  <c r="N73" i="4"/>
  <c r="Q74" i="4"/>
  <c r="E76" i="4"/>
  <c r="H77" i="4"/>
  <c r="K78" i="4"/>
  <c r="N79" i="4"/>
  <c r="D81" i="4"/>
  <c r="G82" i="4"/>
  <c r="J83" i="4"/>
  <c r="M84" i="4"/>
  <c r="P85" i="4"/>
  <c r="D87" i="4"/>
  <c r="G88" i="4"/>
  <c r="L89" i="4"/>
  <c r="O90" i="4"/>
  <c r="C92" i="4"/>
  <c r="F93" i="4"/>
  <c r="G94" i="4"/>
  <c r="H95" i="4"/>
  <c r="I96" i="4"/>
  <c r="J97" i="4"/>
  <c r="K98" i="4"/>
  <c r="L99" i="4"/>
  <c r="M100" i="4"/>
  <c r="N101" i="4"/>
  <c r="O102" i="4"/>
  <c r="P103" i="4"/>
  <c r="Q104" i="4"/>
  <c r="C106" i="4"/>
  <c r="D107" i="4"/>
  <c r="E108" i="4"/>
  <c r="F109" i="4"/>
  <c r="G110" i="4"/>
  <c r="H111" i="4"/>
  <c r="D106" i="4"/>
  <c r="G3" i="4"/>
  <c r="K4" i="4"/>
  <c r="O5" i="4"/>
  <c r="D7" i="4"/>
  <c r="K8" i="4"/>
  <c r="O9" i="4"/>
  <c r="D11" i="4"/>
  <c r="H12" i="4"/>
  <c r="L13" i="4"/>
  <c r="D15" i="4"/>
  <c r="H16" i="4"/>
  <c r="L17" i="4"/>
  <c r="P18" i="4"/>
  <c r="F20" i="4"/>
  <c r="I21" i="4"/>
  <c r="L22" i="4"/>
  <c r="O23" i="4"/>
  <c r="C25" i="4"/>
  <c r="F26" i="4"/>
  <c r="I27" i="4"/>
  <c r="N28" i="4"/>
  <c r="Q29" i="4"/>
  <c r="E31" i="4"/>
  <c r="H32" i="4"/>
  <c r="K33" i="4"/>
  <c r="N34" i="4"/>
  <c r="Q35" i="4"/>
  <c r="G37" i="4"/>
  <c r="M39" i="4"/>
  <c r="P40" i="4"/>
  <c r="D42" i="4"/>
  <c r="G43" i="4"/>
  <c r="J44" i="4"/>
  <c r="O45" i="4"/>
  <c r="C47" i="4"/>
  <c r="F48" i="4"/>
  <c r="I49" i="4"/>
  <c r="L50" i="4"/>
  <c r="O51" i="4"/>
  <c r="C53" i="4"/>
  <c r="H54" i="4"/>
  <c r="K55" i="4"/>
  <c r="N56" i="4"/>
  <c r="Q57" i="4"/>
  <c r="E59" i="4"/>
  <c r="H60" i="4"/>
  <c r="K61" i="4"/>
  <c r="P62" i="4"/>
  <c r="D64" i="4"/>
  <c r="G65" i="4"/>
  <c r="J66" i="4"/>
  <c r="M67" i="4"/>
  <c r="P68" i="4"/>
  <c r="D70" i="4"/>
  <c r="I71" i="4"/>
  <c r="L72" i="4"/>
  <c r="O73" i="4"/>
  <c r="C75" i="4"/>
  <c r="F76" i="4"/>
  <c r="I77" i="4"/>
  <c r="L78" i="4"/>
  <c r="Q79" i="4"/>
  <c r="E81" i="4"/>
  <c r="H82" i="4"/>
  <c r="K83" i="4"/>
  <c r="N84" i="4"/>
  <c r="Q85" i="4"/>
  <c r="E87" i="4"/>
  <c r="J88" i="4"/>
  <c r="M89" i="4"/>
  <c r="P90" i="4"/>
  <c r="D92" i="4"/>
  <c r="G93" i="4"/>
  <c r="H94" i="4"/>
  <c r="I95" i="4"/>
  <c r="J96" i="4"/>
  <c r="K97" i="4"/>
  <c r="L98" i="4"/>
  <c r="M99" i="4"/>
  <c r="N100" i="4"/>
  <c r="O101" i="4"/>
  <c r="P102" i="4"/>
  <c r="Q103" i="4"/>
  <c r="C105" i="4"/>
  <c r="H3" i="4"/>
  <c r="L4" i="4"/>
  <c r="P5" i="4"/>
  <c r="E7" i="4"/>
  <c r="L8" i="4"/>
  <c r="P9" i="4"/>
  <c r="E11" i="4"/>
  <c r="I12" i="4"/>
  <c r="P13" i="4"/>
  <c r="E15" i="4"/>
  <c r="I16" i="4"/>
  <c r="M17" i="4"/>
  <c r="Q18" i="4"/>
  <c r="G20" i="4"/>
  <c r="M22" i="4"/>
  <c r="P23" i="4"/>
  <c r="D25" i="4"/>
  <c r="G26" i="4"/>
  <c r="J27" i="4"/>
  <c r="O28" i="4"/>
  <c r="C30" i="4"/>
  <c r="F31" i="4"/>
  <c r="I32" i="4"/>
  <c r="L33" i="4"/>
  <c r="C36" i="4"/>
  <c r="H37" i="4"/>
  <c r="N39" i="4"/>
  <c r="Q40" i="4"/>
  <c r="E42" i="4"/>
  <c r="H43" i="4"/>
  <c r="K44" i="4"/>
  <c r="P45" i="4"/>
  <c r="D47" i="4"/>
  <c r="G48" i="4"/>
  <c r="J49" i="4"/>
  <c r="M50" i="4"/>
  <c r="P51" i="4"/>
  <c r="D53" i="4"/>
  <c r="I54" i="4"/>
  <c r="L55" i="4"/>
  <c r="O56" i="4"/>
  <c r="C58" i="4"/>
  <c r="I3" i="4"/>
  <c r="P4" i="4"/>
  <c r="K6" i="4"/>
  <c r="C8" i="4"/>
  <c r="M9" i="4"/>
  <c r="H11" i="4"/>
  <c r="C13" i="4"/>
  <c r="J14" i="4"/>
  <c r="E16" i="4"/>
  <c r="O17" i="4"/>
  <c r="I19" i="4"/>
  <c r="O20" i="4"/>
  <c r="H22" i="4"/>
  <c r="Q23" i="4"/>
  <c r="H25" i="4"/>
  <c r="P26" i="4"/>
  <c r="G28" i="4"/>
  <c r="O29" i="4"/>
  <c r="I31" i="4"/>
  <c r="N35" i="4"/>
  <c r="J37" i="4"/>
  <c r="P38" i="4"/>
  <c r="G40" i="4"/>
  <c r="O41" i="4"/>
  <c r="I43" i="4"/>
  <c r="Q44" i="4"/>
  <c r="H46" i="4"/>
  <c r="N47" i="4"/>
  <c r="G49" i="4"/>
  <c r="P50" i="4"/>
  <c r="I52" i="4"/>
  <c r="O53" i="4"/>
  <c r="F55" i="4"/>
  <c r="Q56" i="4"/>
  <c r="H58" i="4"/>
  <c r="O59" i="4"/>
  <c r="E61" i="4"/>
  <c r="J62" i="4"/>
  <c r="Q63" i="4"/>
  <c r="I65" i="4"/>
  <c r="N66" i="4"/>
  <c r="F68" i="4"/>
  <c r="K69" i="4"/>
  <c r="P70" i="4"/>
  <c r="F72" i="4"/>
  <c r="M73" i="4"/>
  <c r="E75" i="4"/>
  <c r="J76" i="4"/>
  <c r="Q77" i="4"/>
  <c r="G79" i="4"/>
  <c r="L80" i="4"/>
  <c r="D82" i="4"/>
  <c r="I83" i="4"/>
  <c r="P84" i="4"/>
  <c r="H86" i="4"/>
  <c r="M87" i="4"/>
  <c r="C89" i="4"/>
  <c r="H90" i="4"/>
  <c r="O91" i="4"/>
  <c r="E93" i="4"/>
  <c r="J94" i="4"/>
  <c r="M95" i="4"/>
  <c r="P96" i="4"/>
  <c r="D98" i="4"/>
  <c r="G99" i="4"/>
  <c r="J100" i="4"/>
  <c r="M101" i="4"/>
  <c r="C103" i="4"/>
  <c r="F104" i="4"/>
  <c r="I105" i="4"/>
  <c r="L106" i="4"/>
  <c r="N107" i="4"/>
  <c r="P108" i="4"/>
  <c r="C110" i="4"/>
  <c r="E111" i="4"/>
  <c r="J3" i="4"/>
  <c r="Q4" i="4"/>
  <c r="L6" i="4"/>
  <c r="D8" i="4"/>
  <c r="Q9" i="4"/>
  <c r="I11" i="4"/>
  <c r="D13" i="4"/>
  <c r="K14" i="4"/>
  <c r="F16" i="4"/>
  <c r="P17" i="4"/>
  <c r="J19" i="4"/>
  <c r="P20" i="4"/>
  <c r="I22" i="4"/>
  <c r="C24" i="4"/>
  <c r="K25" i="4"/>
  <c r="Q26" i="4"/>
  <c r="H28" i="4"/>
  <c r="D30" i="4"/>
  <c r="J31" i="4"/>
  <c r="C33" i="4"/>
  <c r="I34" i="4"/>
  <c r="O35" i="4"/>
  <c r="K37" i="4"/>
  <c r="Q38" i="4"/>
  <c r="J40" i="4"/>
  <c r="P41" i="4"/>
  <c r="C45" i="4"/>
  <c r="I46" i="4"/>
  <c r="Q47" i="4"/>
  <c r="K49" i="4"/>
  <c r="Q50" i="4"/>
  <c r="J52" i="4"/>
  <c r="P53" i="4"/>
  <c r="I55" i="4"/>
  <c r="C57" i="4"/>
  <c r="I58" i="4"/>
  <c r="P59" i="4"/>
  <c r="F61" i="4"/>
  <c r="K62" i="4"/>
  <c r="E64" i="4"/>
  <c r="J65" i="4"/>
  <c r="O66" i="4"/>
  <c r="G68" i="4"/>
  <c r="L69" i="4"/>
  <c r="Q70" i="4"/>
  <c r="G72" i="4"/>
  <c r="P73" i="4"/>
  <c r="F75" i="4"/>
  <c r="K76" i="4"/>
  <c r="C78" i="4"/>
  <c r="H79" i="4"/>
  <c r="M80" i="4"/>
  <c r="E82" i="4"/>
  <c r="L83" i="4"/>
  <c r="Q84" i="4"/>
  <c r="I86" i="4"/>
  <c r="N87" i="4"/>
  <c r="D89" i="4"/>
  <c r="I90" i="4"/>
  <c r="P91" i="4"/>
  <c r="H93" i="4"/>
  <c r="K94" i="4"/>
  <c r="N95" i="4"/>
  <c r="Q96" i="4"/>
  <c r="E98" i="4"/>
  <c r="H99" i="4"/>
  <c r="K100" i="4"/>
  <c r="P101" i="4"/>
  <c r="D103" i="4"/>
  <c r="G104" i="4"/>
  <c r="J105" i="4"/>
  <c r="M106" i="4"/>
  <c r="O107" i="4"/>
  <c r="Q108" i="4"/>
  <c r="D110" i="4"/>
  <c r="F111" i="4"/>
  <c r="I93" i="4"/>
  <c r="F98" i="4"/>
  <c r="Q101" i="4"/>
  <c r="H104" i="4"/>
  <c r="N106" i="4"/>
  <c r="C109" i="4"/>
  <c r="G111" i="4"/>
  <c r="L3" i="4"/>
  <c r="D10" i="4"/>
  <c r="F13" i="4"/>
  <c r="K16" i="4"/>
  <c r="L19" i="4"/>
  <c r="N22" i="4"/>
  <c r="M25" i="4"/>
  <c r="J28" i="4"/>
  <c r="L31" i="4"/>
  <c r="K34" i="4"/>
  <c r="M37" i="4"/>
  <c r="L40" i="4"/>
  <c r="F42" i="4"/>
  <c r="E45" i="4"/>
  <c r="D48" i="4"/>
  <c r="K3" i="4"/>
  <c r="C5" i="4"/>
  <c r="M6" i="4"/>
  <c r="E8" i="4"/>
  <c r="C10" i="4"/>
  <c r="J11" i="4"/>
  <c r="E13" i="4"/>
  <c r="L14" i="4"/>
  <c r="J16" i="4"/>
  <c r="E18" i="4"/>
  <c r="K19" i="4"/>
  <c r="Q20" i="4"/>
  <c r="J22" i="4"/>
  <c r="D24" i="4"/>
  <c r="L25" i="4"/>
  <c r="C27" i="4"/>
  <c r="I28" i="4"/>
  <c r="E30" i="4"/>
  <c r="K31" i="4"/>
  <c r="D33" i="4"/>
  <c r="J34" i="4"/>
  <c r="F36" i="4"/>
  <c r="L37" i="4"/>
  <c r="K40" i="4"/>
  <c r="Q41" i="4"/>
  <c r="M43" i="4"/>
  <c r="D45" i="4"/>
  <c r="C48" i="4"/>
  <c r="L49" i="4"/>
  <c r="E51" i="4"/>
  <c r="K52" i="4"/>
  <c r="Q53" i="4"/>
  <c r="M55" i="4"/>
  <c r="D57" i="4"/>
  <c r="L58" i="4"/>
  <c r="Q59" i="4"/>
  <c r="G61" i="4"/>
  <c r="L62" i="4"/>
  <c r="F64" i="4"/>
  <c r="K65" i="4"/>
  <c r="P66" i="4"/>
  <c r="H68" i="4"/>
  <c r="M69" i="4"/>
  <c r="C71" i="4"/>
  <c r="Q73" i="4"/>
  <c r="G75" i="4"/>
  <c r="N76" i="4"/>
  <c r="D78" i="4"/>
  <c r="I79" i="4"/>
  <c r="N80" i="4"/>
  <c r="F82" i="4"/>
  <c r="M83" i="4"/>
  <c r="C85" i="4"/>
  <c r="J86" i="4"/>
  <c r="O87" i="4"/>
  <c r="E89" i="4"/>
  <c r="L90" i="4"/>
  <c r="Q91" i="4"/>
  <c r="L94" i="4"/>
  <c r="O95" i="4"/>
  <c r="C97" i="4"/>
  <c r="I99" i="4"/>
  <c r="L100" i="4"/>
  <c r="E103" i="4"/>
  <c r="K105" i="4"/>
  <c r="P107" i="4"/>
  <c r="E110" i="4"/>
  <c r="D5" i="4"/>
  <c r="N6" i="4"/>
  <c r="F8" i="4"/>
  <c r="N11" i="4"/>
  <c r="M14" i="4"/>
  <c r="F18" i="4"/>
  <c r="E24" i="4"/>
  <c r="D27" i="4"/>
  <c r="F30" i="4"/>
  <c r="E33" i="4"/>
  <c r="G36" i="4"/>
  <c r="D39" i="4"/>
  <c r="N43" i="4"/>
  <c r="K46" i="4"/>
  <c r="M3" i="4"/>
  <c r="L5" i="4"/>
  <c r="N7" i="4"/>
  <c r="E10" i="4"/>
  <c r="D12" i="4"/>
  <c r="F14" i="4"/>
  <c r="L16" i="4"/>
  <c r="K18" i="4"/>
  <c r="K20" i="4"/>
  <c r="O22" i="4"/>
  <c r="L24" i="4"/>
  <c r="L26" i="4"/>
  <c r="P28" i="4"/>
  <c r="K30" i="4"/>
  <c r="K32" i="4"/>
  <c r="L34" i="4"/>
  <c r="L36" i="4"/>
  <c r="L38" i="4"/>
  <c r="M40" i="4"/>
  <c r="M42" i="4"/>
  <c r="H44" i="4"/>
  <c r="L46" i="4"/>
  <c r="L48" i="4"/>
  <c r="H50" i="4"/>
  <c r="G52" i="4"/>
  <c r="D54" i="4"/>
  <c r="C56" i="4"/>
  <c r="N57" i="4"/>
  <c r="J59" i="4"/>
  <c r="H61" i="4"/>
  <c r="E63" i="4"/>
  <c r="M64" i="4"/>
  <c r="H66" i="4"/>
  <c r="C68" i="4"/>
  <c r="P69" i="4"/>
  <c r="M71" i="4"/>
  <c r="F73" i="4"/>
  <c r="P74" i="4"/>
  <c r="P76" i="4"/>
  <c r="I78" i="4"/>
  <c r="F80" i="4"/>
  <c r="N81" i="4"/>
  <c r="N83" i="4"/>
  <c r="I85" i="4"/>
  <c r="Q86" i="4"/>
  <c r="N88" i="4"/>
  <c r="G90" i="4"/>
  <c r="G92" i="4"/>
  <c r="O93" i="4"/>
  <c r="F95" i="4"/>
  <c r="N96" i="4"/>
  <c r="H98" i="4"/>
  <c r="P99" i="4"/>
  <c r="G101" i="4"/>
  <c r="M102" i="4"/>
  <c r="I104" i="4"/>
  <c r="O105" i="4"/>
  <c r="G107" i="4"/>
  <c r="L108" i="4"/>
  <c r="Q109" i="4"/>
  <c r="K111" i="4"/>
  <c r="P83" i="4"/>
  <c r="N90" i="4"/>
  <c r="Q93" i="4"/>
  <c r="J98" i="4"/>
  <c r="K104" i="4"/>
  <c r="N108" i="4"/>
  <c r="P3" i="4"/>
  <c r="J12" i="4"/>
  <c r="O24" i="4"/>
  <c r="P30" i="4"/>
  <c r="D41" i="4"/>
  <c r="N50" i="4"/>
  <c r="C60" i="4"/>
  <c r="C65" i="4"/>
  <c r="H70" i="4"/>
  <c r="I75" i="4"/>
  <c r="I80" i="4"/>
  <c r="I87" i="4"/>
  <c r="C94" i="4"/>
  <c r="D100" i="4"/>
  <c r="L104" i="4"/>
  <c r="O108" i="4"/>
  <c r="D6" i="4"/>
  <c r="I10" i="4"/>
  <c r="K12" i="4"/>
  <c r="D17" i="4"/>
  <c r="D23" i="4"/>
  <c r="F35" i="4"/>
  <c r="E41" i="4"/>
  <c r="F47" i="4"/>
  <c r="N52" i="4"/>
  <c r="F58" i="4"/>
  <c r="I63" i="4"/>
  <c r="L68" i="4"/>
  <c r="L73" i="4"/>
  <c r="Q78" i="4"/>
  <c r="C84" i="4"/>
  <c r="J87" i="4"/>
  <c r="K92" i="4"/>
  <c r="F97" i="4"/>
  <c r="K101" i="4"/>
  <c r="F106" i="4"/>
  <c r="J110" i="4"/>
  <c r="C4" i="4"/>
  <c r="O12" i="4"/>
  <c r="F19" i="4"/>
  <c r="E25" i="4"/>
  <c r="C31" i="4"/>
  <c r="Q36" i="4"/>
  <c r="G45" i="4"/>
  <c r="F51" i="4"/>
  <c r="J56" i="4"/>
  <c r="Q61" i="4"/>
  <c r="E67" i="4"/>
  <c r="M75" i="4"/>
  <c r="K80" i="4"/>
  <c r="N85" i="4"/>
  <c r="D91" i="4"/>
  <c r="P95" i="4"/>
  <c r="F100" i="4"/>
  <c r="N104" i="4"/>
  <c r="K110" i="4"/>
  <c r="O8" i="4"/>
  <c r="N10" i="4"/>
  <c r="G15" i="4"/>
  <c r="F17" i="4"/>
  <c r="F23" i="4"/>
  <c r="G29" i="4"/>
  <c r="H35" i="4"/>
  <c r="G41" i="4"/>
  <c r="H47" i="4"/>
  <c r="P52" i="4"/>
  <c r="M58" i="4"/>
  <c r="K63" i="4"/>
  <c r="N68" i="4"/>
  <c r="D74" i="4"/>
  <c r="D79" i="4"/>
  <c r="G84" i="4"/>
  <c r="O92" i="4"/>
  <c r="P98" i="4"/>
  <c r="I103" i="4"/>
  <c r="L110" i="4"/>
  <c r="J6" i="4"/>
  <c r="Q12" i="4"/>
  <c r="H19" i="4"/>
  <c r="G25" i="4"/>
  <c r="H31" i="4"/>
  <c r="I37" i="4"/>
  <c r="I45" i="4"/>
  <c r="G53" i="4"/>
  <c r="N58" i="4"/>
  <c r="L63" i="4"/>
  <c r="Q68" i="4"/>
  <c r="E74" i="4"/>
  <c r="E79" i="4"/>
  <c r="H84" i="4"/>
  <c r="K89" i="4"/>
  <c r="I94" i="4"/>
  <c r="H100" i="4"/>
  <c r="P104" i="4"/>
  <c r="M110" i="4"/>
  <c r="O6" i="4"/>
  <c r="Q8" i="4"/>
  <c r="G13" i="4"/>
  <c r="H17" i="4"/>
  <c r="M21" i="4"/>
  <c r="N3" i="4"/>
  <c r="M5" i="4"/>
  <c r="O7" i="4"/>
  <c r="F10" i="4"/>
  <c r="E12" i="4"/>
  <c r="G14" i="4"/>
  <c r="M16" i="4"/>
  <c r="L18" i="4"/>
  <c r="L20" i="4"/>
  <c r="P22" i="4"/>
  <c r="M24" i="4"/>
  <c r="M26" i="4"/>
  <c r="Q28" i="4"/>
  <c r="L30" i="4"/>
  <c r="L32" i="4"/>
  <c r="P34" i="4"/>
  <c r="M38" i="4"/>
  <c r="N40" i="4"/>
  <c r="N42" i="4"/>
  <c r="N44" i="4"/>
  <c r="M46" i="4"/>
  <c r="M48" i="4"/>
  <c r="I50" i="4"/>
  <c r="H52" i="4"/>
  <c r="J54" i="4"/>
  <c r="D56" i="4"/>
  <c r="O57" i="4"/>
  <c r="M59" i="4"/>
  <c r="I61" i="4"/>
  <c r="F63" i="4"/>
  <c r="N64" i="4"/>
  <c r="K66" i="4"/>
  <c r="I68" i="4"/>
  <c r="Q69" i="4"/>
  <c r="N71" i="4"/>
  <c r="G73" i="4"/>
  <c r="D75" i="4"/>
  <c r="Q76" i="4"/>
  <c r="J78" i="4"/>
  <c r="G80" i="4"/>
  <c r="O81" i="4"/>
  <c r="O83" i="4"/>
  <c r="J85" i="4"/>
  <c r="C87" i="4"/>
  <c r="O88" i="4"/>
  <c r="M90" i="4"/>
  <c r="H92" i="4"/>
  <c r="P93" i="4"/>
  <c r="G95" i="4"/>
  <c r="O96" i="4"/>
  <c r="I98" i="4"/>
  <c r="Q99" i="4"/>
  <c r="H101" i="4"/>
  <c r="N102" i="4"/>
  <c r="J104" i="4"/>
  <c r="P105" i="4"/>
  <c r="H107" i="4"/>
  <c r="M108" i="4"/>
  <c r="F110" i="4"/>
  <c r="L111" i="4"/>
  <c r="K85" i="4"/>
  <c r="J95" i="4"/>
  <c r="I101" i="4"/>
  <c r="Q105" i="4"/>
  <c r="H110" i="4"/>
  <c r="C6" i="4"/>
  <c r="I14" i="4"/>
  <c r="N20" i="4"/>
  <c r="O26" i="4"/>
  <c r="N32" i="4"/>
  <c r="O36" i="4"/>
  <c r="P42" i="4"/>
  <c r="E47" i="4"/>
  <c r="M52" i="4"/>
  <c r="E58" i="4"/>
  <c r="H63" i="4"/>
  <c r="K68" i="4"/>
  <c r="K73" i="4"/>
  <c r="P78" i="4"/>
  <c r="Q83" i="4"/>
  <c r="Q88" i="4"/>
  <c r="J92" i="4"/>
  <c r="E97" i="4"/>
  <c r="J101" i="4"/>
  <c r="E106" i="4"/>
  <c r="N111" i="4"/>
  <c r="M8" i="4"/>
  <c r="E19" i="4"/>
  <c r="P24" i="4"/>
  <c r="Q30" i="4"/>
  <c r="P36" i="4"/>
  <c r="F45" i="4"/>
  <c r="O50" i="4"/>
  <c r="G56" i="4"/>
  <c r="P61" i="4"/>
  <c r="Q66" i="4"/>
  <c r="Q71" i="4"/>
  <c r="E77" i="4"/>
  <c r="J82" i="4"/>
  <c r="F89" i="4"/>
  <c r="D94" i="4"/>
  <c r="N98" i="4"/>
  <c r="M104" i="4"/>
  <c r="D109" i="4"/>
  <c r="E6" i="4"/>
  <c r="M10" i="4"/>
  <c r="F15" i="4"/>
  <c r="F27" i="4"/>
  <c r="G33" i="4"/>
  <c r="F39" i="4"/>
  <c r="D49" i="4"/>
  <c r="O52" i="4"/>
  <c r="G58" i="4"/>
  <c r="J63" i="4"/>
  <c r="J70" i="4"/>
  <c r="F77" i="4"/>
  <c r="K82" i="4"/>
  <c r="K87" i="4"/>
  <c r="N92" i="4"/>
  <c r="G97" i="4"/>
  <c r="L101" i="4"/>
  <c r="L107" i="4"/>
  <c r="P111" i="4"/>
  <c r="I6" i="4"/>
  <c r="G19" i="4"/>
  <c r="F25" i="4"/>
  <c r="G31" i="4"/>
  <c r="C37" i="4"/>
  <c r="H45" i="4"/>
  <c r="G51" i="4"/>
  <c r="K56" i="4"/>
  <c r="C62" i="4"/>
  <c r="F67" i="4"/>
  <c r="D72" i="4"/>
  <c r="N75" i="4"/>
  <c r="O80" i="4"/>
  <c r="O85" i="4"/>
  <c r="F94" i="4"/>
  <c r="G100" i="4"/>
  <c r="O104" i="4"/>
  <c r="G109" i="4"/>
  <c r="H4" i="4"/>
  <c r="O10" i="4"/>
  <c r="G17" i="4"/>
  <c r="I23" i="4"/>
  <c r="M27" i="4"/>
  <c r="I33" i="4"/>
  <c r="J39" i="4"/>
  <c r="I47" i="4"/>
  <c r="P54" i="4"/>
  <c r="D62" i="4"/>
  <c r="G67" i="4"/>
  <c r="E72" i="4"/>
  <c r="J77" i="4"/>
  <c r="M82" i="4"/>
  <c r="C86" i="4"/>
  <c r="F91" i="4"/>
  <c r="C96" i="4"/>
  <c r="Q98" i="4"/>
  <c r="J103" i="4"/>
  <c r="Q107" i="4"/>
  <c r="O3" i="4"/>
  <c r="Q5" i="4"/>
  <c r="P7" i="4"/>
  <c r="G10" i="4"/>
  <c r="F12" i="4"/>
  <c r="H14" i="4"/>
  <c r="N16" i="4"/>
  <c r="M20" i="4"/>
  <c r="Q22" i="4"/>
  <c r="N24" i="4"/>
  <c r="N26" i="4"/>
  <c r="M30" i="4"/>
  <c r="M32" i="4"/>
  <c r="Q34" i="4"/>
  <c r="N38" i="4"/>
  <c r="C41" i="4"/>
  <c r="O42" i="4"/>
  <c r="O44" i="4"/>
  <c r="P46" i="4"/>
  <c r="N48" i="4"/>
  <c r="J50" i="4"/>
  <c r="L52" i="4"/>
  <c r="K54" i="4"/>
  <c r="E56" i="4"/>
  <c r="D58" i="4"/>
  <c r="N59" i="4"/>
  <c r="L61" i="4"/>
  <c r="G63" i="4"/>
  <c r="O64" i="4"/>
  <c r="L66" i="4"/>
  <c r="J68" i="4"/>
  <c r="E70" i="4"/>
  <c r="O71" i="4"/>
  <c r="H73" i="4"/>
  <c r="H75" i="4"/>
  <c r="C77" i="4"/>
  <c r="M78" i="4"/>
  <c r="H80" i="4"/>
  <c r="P81" i="4"/>
  <c r="F87" i="4"/>
  <c r="P88" i="4"/>
  <c r="I92" i="4"/>
  <c r="D97" i="4"/>
  <c r="C100" i="4"/>
  <c r="Q102" i="4"/>
  <c r="I107" i="4"/>
  <c r="M111" i="4"/>
  <c r="Q7" i="4"/>
  <c r="H10" i="4"/>
  <c r="O16" i="4"/>
  <c r="C23" i="4"/>
  <c r="D29" i="4"/>
  <c r="E35" i="4"/>
  <c r="O38" i="4"/>
  <c r="P44" i="4"/>
  <c r="O48" i="4"/>
  <c r="L54" i="4"/>
  <c r="F56" i="4"/>
  <c r="O61" i="4"/>
  <c r="M66" i="4"/>
  <c r="P71" i="4"/>
  <c r="D77" i="4"/>
  <c r="I82" i="4"/>
  <c r="L85" i="4"/>
  <c r="Q90" i="4"/>
  <c r="K95" i="4"/>
  <c r="M98" i="4"/>
  <c r="F103" i="4"/>
  <c r="J107" i="4"/>
  <c r="I110" i="4"/>
  <c r="Q3" i="4"/>
  <c r="Q14" i="4"/>
  <c r="D21" i="4"/>
  <c r="E27" i="4"/>
  <c r="F33" i="4"/>
  <c r="Q42" i="4"/>
  <c r="C49" i="4"/>
  <c r="M54" i="4"/>
  <c r="D60" i="4"/>
  <c r="D65" i="4"/>
  <c r="I70" i="4"/>
  <c r="J75" i="4"/>
  <c r="J80" i="4"/>
  <c r="M85" i="4"/>
  <c r="C91" i="4"/>
  <c r="L95" i="4"/>
  <c r="E100" i="4"/>
  <c r="G103" i="4"/>
  <c r="K107" i="4"/>
  <c r="O111" i="4"/>
  <c r="N8" i="4"/>
  <c r="E17" i="4"/>
  <c r="E23" i="4"/>
  <c r="F29" i="4"/>
  <c r="G35" i="4"/>
  <c r="F41" i="4"/>
  <c r="G47" i="4"/>
  <c r="N54" i="4"/>
  <c r="E60" i="4"/>
  <c r="E65" i="4"/>
  <c r="M68" i="4"/>
  <c r="C74" i="4"/>
  <c r="C79" i="4"/>
  <c r="F84" i="4"/>
  <c r="G89" i="4"/>
  <c r="E94" i="4"/>
  <c r="O98" i="4"/>
  <c r="H103" i="4"/>
  <c r="G106" i="4"/>
  <c r="E109" i="4"/>
  <c r="G4" i="4"/>
  <c r="P12" i="4"/>
  <c r="K21" i="4"/>
  <c r="G27" i="4"/>
  <c r="H33" i="4"/>
  <c r="I39" i="4"/>
  <c r="D43" i="4"/>
  <c r="E49" i="4"/>
  <c r="O54" i="4"/>
  <c r="F60" i="4"/>
  <c r="H65" i="4"/>
  <c r="K70" i="4"/>
  <c r="G77" i="4"/>
  <c r="L82" i="4"/>
  <c r="L87" i="4"/>
  <c r="H89" i="4"/>
  <c r="E91" i="4"/>
  <c r="Q95" i="4"/>
  <c r="H97" i="4"/>
  <c r="C102" i="4"/>
  <c r="H106" i="4"/>
  <c r="M107" i="4"/>
  <c r="Q111" i="4"/>
  <c r="P8" i="4"/>
  <c r="H15" i="4"/>
  <c r="L21" i="4"/>
  <c r="H29" i="4"/>
  <c r="I35" i="4"/>
  <c r="H41" i="4"/>
  <c r="E43" i="4"/>
  <c r="F49" i="4"/>
  <c r="H51" i="4"/>
  <c r="L56" i="4"/>
  <c r="I60" i="4"/>
  <c r="L65" i="4"/>
  <c r="L70" i="4"/>
  <c r="O75" i="4"/>
  <c r="C81" i="4"/>
  <c r="P87" i="4"/>
  <c r="P92" i="4"/>
  <c r="I97" i="4"/>
  <c r="D102" i="4"/>
  <c r="I106" i="4"/>
  <c r="H109" i="4"/>
  <c r="I4" i="4"/>
  <c r="P10" i="4"/>
  <c r="I15" i="4"/>
  <c r="M19" i="4"/>
  <c r="J23" i="4"/>
  <c r="K106" i="4"/>
  <c r="O100" i="4"/>
  <c r="N94" i="4"/>
  <c r="C88" i="4"/>
  <c r="G81" i="4"/>
  <c r="G74" i="4"/>
  <c r="I67" i="4"/>
  <c r="K60" i="4"/>
  <c r="I53" i="4"/>
  <c r="K45" i="4"/>
  <c r="L41" i="4"/>
  <c r="O37" i="4"/>
  <c r="J20" i="4"/>
  <c r="G11" i="4"/>
  <c r="I109" i="4"/>
  <c r="I100" i="4"/>
  <c r="G91" i="4"/>
  <c r="I84" i="4"/>
  <c r="F74" i="4"/>
  <c r="M63" i="4"/>
  <c r="H53" i="4"/>
  <c r="K41" i="4"/>
  <c r="I29" i="4"/>
  <c r="I20" i="4"/>
  <c r="F11" i="4"/>
  <c r="J111" i="4"/>
  <c r="L102" i="4"/>
  <c r="N93" i="4"/>
  <c r="H83" i="4"/>
  <c r="E73" i="4"/>
  <c r="G66" i="4"/>
  <c r="I59" i="4"/>
  <c r="K48" i="4"/>
  <c r="K36" i="4"/>
  <c r="K24" i="4"/>
  <c r="H20" i="4"/>
  <c r="Q10" i="4"/>
  <c r="J108" i="4"/>
  <c r="N99" i="4"/>
  <c r="O86" i="4"/>
  <c r="I76" i="4"/>
  <c r="F66" i="4"/>
  <c r="P55" i="4"/>
  <c r="E40" i="4"/>
  <c r="E28" i="4"/>
  <c r="Q19" i="4"/>
  <c r="I5" i="4"/>
  <c r="L105" i="4"/>
  <c r="L93" i="4"/>
  <c r="F83" i="4"/>
  <c r="C73" i="4"/>
  <c r="Q62" i="4"/>
  <c r="O55" i="4"/>
  <c r="E44" i="4"/>
  <c r="E32" i="4"/>
  <c r="G24" i="4"/>
  <c r="H5" i="4"/>
  <c r="H108" i="4"/>
  <c r="I102" i="4"/>
  <c r="C90" i="4"/>
  <c r="E83" i="4"/>
  <c r="I69" i="4"/>
  <c r="H48" i="4"/>
  <c r="P110" i="4"/>
  <c r="F108" i="4"/>
  <c r="F105" i="4"/>
  <c r="G102" i="4"/>
  <c r="E99" i="4"/>
  <c r="F96" i="4"/>
  <c r="D93" i="4"/>
  <c r="P89" i="4"/>
  <c r="K86" i="4"/>
  <c r="P82" i="4"/>
  <c r="K79" i="4"/>
  <c r="C76" i="4"/>
  <c r="O72" i="4"/>
  <c r="G69" i="4"/>
  <c r="O65" i="4"/>
  <c r="G62" i="4"/>
  <c r="Q58" i="4"/>
  <c r="D55" i="4"/>
  <c r="K51" i="4"/>
  <c r="L47" i="4"/>
  <c r="Q43" i="4"/>
  <c r="P39" i="4"/>
  <c r="L35" i="4"/>
  <c r="Q31" i="4"/>
  <c r="P27" i="4"/>
  <c r="L23" i="4"/>
  <c r="C14" i="4"/>
  <c r="E9" i="4"/>
  <c r="M4" i="4"/>
  <c r="X2" i="4"/>
  <c r="W2" i="4"/>
  <c r="V2" i="4"/>
  <c r="U2" i="4"/>
  <c r="C2" i="4"/>
  <c r="Q2" i="4"/>
  <c r="P2" i="4"/>
  <c r="O2" i="4"/>
  <c r="N2" i="4"/>
  <c r="M2" i="4"/>
  <c r="L2" i="4"/>
  <c r="K2" i="4"/>
  <c r="J2" i="4"/>
  <c r="I2" i="4"/>
  <c r="T37" i="1"/>
  <c r="H2" i="4"/>
  <c r="H8" i="1"/>
  <c r="G2" i="4"/>
  <c r="G8" i="1"/>
  <c r="W73" i="1"/>
  <c r="I82" i="1"/>
  <c r="W34" i="1"/>
  <c r="L65" i="1"/>
  <c r="K65" i="1"/>
  <c r="W65" i="1"/>
  <c r="T80" i="1"/>
  <c r="V50" i="1"/>
  <c r="U50" i="1"/>
  <c r="V34" i="1"/>
  <c r="Q42" i="1"/>
  <c r="T45" i="1"/>
  <c r="L7" i="1"/>
  <c r="G88" i="1"/>
  <c r="X79" i="1"/>
  <c r="W79" i="1"/>
  <c r="C21" i="1"/>
  <c r="X47" i="1"/>
  <c r="X73" i="1"/>
  <c r="F7" i="1"/>
  <c r="J80" i="1"/>
  <c r="I80" i="1"/>
  <c r="G76" i="1"/>
  <c r="N28" i="1"/>
  <c r="T38" i="1"/>
  <c r="V21" i="1"/>
  <c r="J82" i="1"/>
  <c r="I8" i="1"/>
  <c r="X22" i="1"/>
  <c r="F2" i="4"/>
  <c r="X59" i="1"/>
  <c r="G52" i="1"/>
  <c r="T26" i="1"/>
  <c r="G46" i="1"/>
  <c r="U12" i="1"/>
  <c r="G93" i="1"/>
  <c r="F44" i="1"/>
  <c r="T83" i="1"/>
  <c r="W45" i="1"/>
  <c r="X9" i="1"/>
  <c r="V65" i="1"/>
  <c r="X91" i="1"/>
  <c r="P94" i="1"/>
  <c r="W59" i="1"/>
  <c r="I94" i="1"/>
  <c r="T54" i="1"/>
  <c r="J43" i="1"/>
  <c r="V45" i="1"/>
  <c r="J65" i="1"/>
  <c r="E7" i="1"/>
  <c r="W20" i="1"/>
  <c r="H64" i="1"/>
  <c r="W97" i="1"/>
  <c r="T60" i="1"/>
  <c r="V20" i="1"/>
  <c r="H52" i="1"/>
  <c r="U26" i="1"/>
  <c r="W91" i="1"/>
  <c r="U83" i="1"/>
  <c r="P92" i="1"/>
  <c r="X82" i="1"/>
  <c r="U7" i="1"/>
  <c r="P89" i="1"/>
  <c r="I43" i="1"/>
  <c r="W82" i="1"/>
  <c r="U45" i="1"/>
  <c r="T7" i="1"/>
  <c r="E2" i="4"/>
  <c r="F76" i="1"/>
  <c r="O33" i="1"/>
  <c r="V91" i="1"/>
  <c r="U34" i="1"/>
  <c r="W46" i="1"/>
  <c r="T12" i="1"/>
  <c r="E76" i="1"/>
  <c r="I73" i="1"/>
  <c r="U91" i="1"/>
  <c r="T34" i="1"/>
  <c r="X23" i="1"/>
  <c r="X72" i="1"/>
  <c r="H68" i="1"/>
  <c r="H73" i="1"/>
  <c r="T91" i="1"/>
  <c r="X29" i="1"/>
  <c r="W23" i="1"/>
  <c r="W61" i="1"/>
  <c r="G68" i="1"/>
  <c r="G73" i="1"/>
  <c r="V88" i="1"/>
  <c r="T49" i="1"/>
  <c r="V23" i="1"/>
  <c r="V61" i="1"/>
  <c r="Q94" i="1"/>
  <c r="Q100" i="1"/>
  <c r="F73" i="1"/>
  <c r="U88" i="1"/>
  <c r="X65" i="1"/>
  <c r="U23" i="1"/>
  <c r="T48" i="1"/>
  <c r="D2" i="4"/>
  <c r="F87" i="1"/>
  <c r="V97" i="1"/>
  <c r="V59" i="1"/>
  <c r="X33" i="1"/>
  <c r="W9" i="1"/>
  <c r="C75" i="1"/>
  <c r="M14" i="1"/>
  <c r="U79" i="1"/>
  <c r="U46" i="1"/>
  <c r="V16" i="1"/>
  <c r="D63" i="1"/>
  <c r="L14" i="1"/>
  <c r="T69" i="1"/>
  <c r="U16" i="1"/>
  <c r="Q59" i="1"/>
  <c r="W75" i="1"/>
  <c r="U33" i="1"/>
  <c r="Q24" i="1"/>
  <c r="X95" i="1"/>
  <c r="T42" i="1"/>
  <c r="F101" i="1"/>
  <c r="E35" i="1"/>
  <c r="Q37" i="1"/>
  <c r="N72" i="1"/>
  <c r="W95" i="1"/>
  <c r="T86" i="1"/>
  <c r="U74" i="1"/>
  <c r="V100" i="1"/>
  <c r="X54" i="1"/>
  <c r="X41" i="1"/>
  <c r="W98" i="1"/>
  <c r="W15" i="1"/>
  <c r="W8" i="1"/>
  <c r="P42" i="1"/>
  <c r="V79" i="1"/>
  <c r="F64" i="1"/>
  <c r="U97" i="1"/>
  <c r="U58" i="1"/>
  <c r="V9" i="1"/>
  <c r="D87" i="1"/>
  <c r="T97" i="1"/>
  <c r="T58" i="1"/>
  <c r="U9" i="1"/>
  <c r="H35" i="1"/>
  <c r="K14" i="1"/>
  <c r="X100" i="1"/>
  <c r="T16" i="1"/>
  <c r="G35" i="1"/>
  <c r="C22" i="1"/>
  <c r="V74" i="1"/>
  <c r="X98" i="1"/>
  <c r="P24" i="1"/>
  <c r="D55" i="1"/>
  <c r="E101" i="1"/>
  <c r="O24" i="1"/>
  <c r="K29" i="1"/>
  <c r="Q54" i="1"/>
  <c r="P37" i="1"/>
  <c r="M72" i="1"/>
  <c r="V95" i="1"/>
  <c r="X83" i="1"/>
  <c r="T74" i="1"/>
  <c r="U100" i="1"/>
  <c r="W54" i="1"/>
  <c r="W41" i="1"/>
  <c r="V98" i="1"/>
  <c r="V15" i="1"/>
  <c r="X7" i="1"/>
  <c r="G64" i="1"/>
  <c r="T88" i="1"/>
  <c r="V46" i="1"/>
  <c r="X28" i="1"/>
  <c r="E87" i="1"/>
  <c r="D41" i="1"/>
  <c r="X87" i="1"/>
  <c r="U69" i="1"/>
  <c r="W33" i="1"/>
  <c r="I35" i="1"/>
  <c r="W87" i="1"/>
  <c r="V42" i="1"/>
  <c r="N101" i="1"/>
  <c r="X96" i="1"/>
  <c r="X57" i="1"/>
  <c r="M101" i="1"/>
  <c r="O72" i="1"/>
  <c r="W100" i="1"/>
  <c r="X8" i="1"/>
  <c r="M82" i="1"/>
  <c r="O70" i="1"/>
  <c r="J52" i="1"/>
  <c r="O37" i="1"/>
  <c r="J61" i="1"/>
  <c r="U95" i="1"/>
  <c r="W83" i="1"/>
  <c r="X50" i="1"/>
  <c r="T100" i="1"/>
  <c r="V54" i="1"/>
  <c r="U99" i="1"/>
  <c r="U98" i="1"/>
  <c r="U15" i="1"/>
  <c r="W7" i="1"/>
  <c r="J75" i="1"/>
  <c r="O15" i="1"/>
  <c r="V69" i="1"/>
  <c r="Q22" i="1"/>
  <c r="T79" i="1"/>
  <c r="V33" i="1"/>
  <c r="H86" i="1"/>
  <c r="P22" i="1"/>
  <c r="V87" i="1"/>
  <c r="U42" i="1"/>
  <c r="T9" i="1"/>
  <c r="P59" i="1"/>
  <c r="U86" i="1"/>
  <c r="W57" i="1"/>
  <c r="X15" i="1"/>
  <c r="D101" i="1"/>
  <c r="C95" i="1"/>
  <c r="L82" i="1"/>
  <c r="I68" i="1"/>
  <c r="I52" i="1"/>
  <c r="N37" i="1"/>
  <c r="I61" i="1"/>
  <c r="W92" i="1"/>
  <c r="V83" i="1"/>
  <c r="W50" i="1"/>
  <c r="U49" i="1"/>
  <c r="U54" i="1"/>
  <c r="T99" i="1"/>
  <c r="T98" i="1"/>
  <c r="T15" i="1"/>
  <c r="V7" i="1"/>
  <c r="O92" i="1"/>
  <c r="N80" i="1"/>
  <c r="N70" i="1"/>
  <c r="K55" i="1"/>
  <c r="C41" i="1"/>
  <c r="N26" i="1"/>
  <c r="E8" i="1"/>
  <c r="V92" i="1"/>
  <c r="X24" i="1"/>
  <c r="X78" i="1"/>
  <c r="W29" i="1"/>
  <c r="U65" i="1"/>
  <c r="X53" i="1"/>
  <c r="V41" i="1"/>
  <c r="T33" i="1"/>
  <c r="W28" i="1"/>
  <c r="U61" i="1"/>
  <c r="T6" i="1"/>
  <c r="N92" i="1"/>
  <c r="M80" i="1"/>
  <c r="M70" i="1"/>
  <c r="J55" i="1"/>
  <c r="Q40" i="1"/>
  <c r="H26" i="1"/>
  <c r="O7" i="1"/>
  <c r="U92" i="1"/>
  <c r="U85" i="1"/>
  <c r="W77" i="1"/>
  <c r="V29" i="1"/>
  <c r="T65" i="1"/>
  <c r="W53" i="1"/>
  <c r="U41" i="1"/>
  <c r="X32" i="1"/>
  <c r="V28" i="1"/>
  <c r="T61" i="1"/>
  <c r="J5" i="1"/>
  <c r="T3" i="1"/>
  <c r="U6" i="1"/>
  <c r="V27" i="1"/>
  <c r="W48" i="1"/>
  <c r="X61" i="1"/>
  <c r="T14" i="1"/>
  <c r="U17" i="1"/>
  <c r="V26" i="1"/>
  <c r="W21" i="1"/>
  <c r="X30" i="1"/>
  <c r="T36" i="1"/>
  <c r="U38" i="1"/>
  <c r="V39" i="1"/>
  <c r="W42" i="1"/>
  <c r="X46" i="1"/>
  <c r="T52" i="1"/>
  <c r="U55" i="1"/>
  <c r="V58" i="1"/>
  <c r="W63" i="1"/>
  <c r="X49" i="1"/>
  <c r="T68" i="1"/>
  <c r="U71" i="1"/>
  <c r="V18" i="1"/>
  <c r="W74" i="1"/>
  <c r="X77" i="1"/>
  <c r="T81" i="1"/>
  <c r="U84" i="1"/>
  <c r="V86" i="1"/>
  <c r="W89" i="1"/>
  <c r="X92" i="1"/>
  <c r="T96" i="1"/>
  <c r="N5" i="1"/>
  <c r="E48" i="1"/>
  <c r="N14" i="1"/>
  <c r="O26" i="1"/>
  <c r="I32" i="1"/>
  <c r="E99" i="1"/>
  <c r="G44" i="1"/>
  <c r="K52" i="1"/>
  <c r="G59" i="1"/>
  <c r="F49" i="1"/>
  <c r="Q70" i="1"/>
  <c r="N35" i="1"/>
  <c r="E79" i="1"/>
  <c r="Q83" i="1"/>
  <c r="H89" i="1"/>
  <c r="Q92" i="1"/>
  <c r="I97" i="1"/>
  <c r="O39" i="1"/>
  <c r="K67" i="1"/>
  <c r="N79" i="1"/>
  <c r="F93" i="1"/>
  <c r="U3" i="1"/>
  <c r="V6" i="1"/>
  <c r="W27" i="1"/>
  <c r="X48" i="1"/>
  <c r="T72" i="1"/>
  <c r="U14" i="1"/>
  <c r="V17" i="1"/>
  <c r="W26" i="1"/>
  <c r="X21" i="1"/>
  <c r="T31" i="1"/>
  <c r="U36" i="1"/>
  <c r="V38" i="1"/>
  <c r="W39" i="1"/>
  <c r="X42" i="1"/>
  <c r="T47" i="1"/>
  <c r="U52" i="1"/>
  <c r="V55" i="1"/>
  <c r="W58" i="1"/>
  <c r="X63" i="1"/>
  <c r="T66" i="1"/>
  <c r="U68" i="1"/>
  <c r="V71" i="1"/>
  <c r="W18" i="1"/>
  <c r="X74" i="1"/>
  <c r="T78" i="1"/>
  <c r="U81" i="1"/>
  <c r="V84" i="1"/>
  <c r="W86" i="1"/>
  <c r="X89" i="1"/>
  <c r="T93" i="1"/>
  <c r="U96" i="1"/>
  <c r="O5" i="1"/>
  <c r="F48" i="1"/>
  <c r="O14" i="1"/>
  <c r="J62" i="1"/>
  <c r="P32" i="1"/>
  <c r="F99" i="1"/>
  <c r="C46" i="1"/>
  <c r="D54" i="1"/>
  <c r="H59" i="1"/>
  <c r="G49" i="1"/>
  <c r="C71" i="1"/>
  <c r="O50" i="1"/>
  <c r="F79" i="1"/>
  <c r="C84" i="1"/>
  <c r="I89" i="1"/>
  <c r="C93" i="1"/>
  <c r="J97" i="1"/>
  <c r="M84" i="1"/>
  <c r="E93" i="1"/>
  <c r="W3" i="1"/>
  <c r="T8" i="1"/>
  <c r="U10" i="1"/>
  <c r="V72" i="1"/>
  <c r="W14" i="1"/>
  <c r="X17" i="1"/>
  <c r="U73" i="1"/>
  <c r="W36" i="1"/>
  <c r="X38" i="1"/>
  <c r="U43" i="1"/>
  <c r="W52" i="1"/>
  <c r="U64" i="1"/>
  <c r="W68" i="1"/>
  <c r="T35" i="1"/>
  <c r="U75" i="1"/>
  <c r="W81" i="1"/>
  <c r="T87" i="1"/>
  <c r="V93" i="1"/>
  <c r="D7" i="1"/>
  <c r="C15" i="1"/>
  <c r="N33" i="1"/>
  <c r="J54" i="1"/>
  <c r="E71" i="1"/>
  <c r="N84" i="1"/>
  <c r="M97" i="1"/>
  <c r="U8" i="1"/>
  <c r="X36" i="1"/>
  <c r="V43" i="1"/>
  <c r="X52" i="1"/>
  <c r="U59" i="1"/>
  <c r="W66" i="1"/>
  <c r="T29" i="1"/>
  <c r="V75" i="1"/>
  <c r="X81" i="1"/>
  <c r="U87" i="1"/>
  <c r="V3" i="1"/>
  <c r="W6" i="1"/>
  <c r="X27" i="1"/>
  <c r="T10" i="1"/>
  <c r="U72" i="1"/>
  <c r="V14" i="1"/>
  <c r="W17" i="1"/>
  <c r="X26" i="1"/>
  <c r="T73" i="1"/>
  <c r="U31" i="1"/>
  <c r="V36" i="1"/>
  <c r="W38" i="1"/>
  <c r="X39" i="1"/>
  <c r="T43" i="1"/>
  <c r="U47" i="1"/>
  <c r="V52" i="1"/>
  <c r="W55" i="1"/>
  <c r="X58" i="1"/>
  <c r="T64" i="1"/>
  <c r="U66" i="1"/>
  <c r="V68" i="1"/>
  <c r="W71" i="1"/>
  <c r="X18" i="1"/>
  <c r="T75" i="1"/>
  <c r="U78" i="1"/>
  <c r="V81" i="1"/>
  <c r="W84" i="1"/>
  <c r="X86" i="1"/>
  <c r="T90" i="1"/>
  <c r="U93" i="1"/>
  <c r="V96" i="1"/>
  <c r="C7" i="1"/>
  <c r="G48" i="1"/>
  <c r="Q14" i="1"/>
  <c r="P62" i="1"/>
  <c r="G33" i="1"/>
  <c r="N39" i="1"/>
  <c r="D46" i="1"/>
  <c r="I54" i="1"/>
  <c r="N59" i="1"/>
  <c r="I67" i="1"/>
  <c r="D71" i="1"/>
  <c r="P50" i="1"/>
  <c r="M79" i="1"/>
  <c r="J89" i="1"/>
  <c r="K97" i="1"/>
  <c r="X6" i="1"/>
  <c r="T20" i="1"/>
  <c r="V31" i="1"/>
  <c r="T40" i="1"/>
  <c r="V47" i="1"/>
  <c r="X55" i="1"/>
  <c r="T59" i="1"/>
  <c r="V66" i="1"/>
  <c r="X71" i="1"/>
  <c r="V78" i="1"/>
  <c r="X84" i="1"/>
  <c r="U90" i="1"/>
  <c r="W96" i="1"/>
  <c r="M11" i="1"/>
  <c r="Q62" i="1"/>
  <c r="E46" i="1"/>
  <c r="O59" i="1"/>
  <c r="Q74" i="1"/>
  <c r="K89" i="1"/>
  <c r="X3" i="1"/>
  <c r="V10" i="1"/>
  <c r="W72" i="1"/>
  <c r="X14" i="1"/>
  <c r="T25" i="1"/>
  <c r="U20" i="1"/>
  <c r="V73" i="1"/>
  <c r="W31" i="1"/>
  <c r="T23" i="1"/>
  <c r="U40" i="1"/>
  <c r="W47" i="1"/>
  <c r="T56" i="1"/>
  <c r="V64" i="1"/>
  <c r="X68" i="1"/>
  <c r="U35" i="1"/>
  <c r="W78" i="1"/>
  <c r="T85" i="1"/>
  <c r="V90" i="1"/>
  <c r="W93" i="1"/>
  <c r="T4" i="1"/>
  <c r="T19" i="1"/>
  <c r="U48" i="1"/>
  <c r="V12" i="1"/>
  <c r="W16" i="1"/>
  <c r="X20" i="1"/>
  <c r="T30" i="1"/>
  <c r="U37" i="1"/>
  <c r="V99" i="1"/>
  <c r="W43" i="1"/>
  <c r="X45" i="1"/>
  <c r="T55" i="1"/>
  <c r="U60" i="1"/>
  <c r="V49" i="1"/>
  <c r="W69" i="1"/>
  <c r="X34" i="1"/>
  <c r="T76" i="1"/>
  <c r="U80" i="1"/>
  <c r="V85" i="1"/>
  <c r="W88" i="1"/>
  <c r="X93" i="1"/>
  <c r="X97" i="1"/>
  <c r="O8" i="1"/>
  <c r="P15" i="1"/>
  <c r="F98" i="1"/>
  <c r="D38" i="1"/>
  <c r="H46" i="1"/>
  <c r="M56" i="1"/>
  <c r="M65" i="1"/>
  <c r="L29" i="1"/>
  <c r="H76" i="1"/>
  <c r="D83" i="1"/>
  <c r="C90" i="1"/>
  <c r="D95" i="1"/>
  <c r="Q57" i="1"/>
  <c r="L76" i="1"/>
  <c r="C96" i="1"/>
  <c r="W51" i="1"/>
  <c r="E61" i="1"/>
  <c r="M58" i="1"/>
  <c r="M76" i="1"/>
  <c r="D96" i="1"/>
  <c r="U22" i="1"/>
  <c r="W70" i="1"/>
  <c r="W90" i="1"/>
  <c r="G61" i="1"/>
  <c r="N58" i="1"/>
  <c r="I78" i="1"/>
  <c r="E96" i="1"/>
  <c r="T53" i="1"/>
  <c r="V82" i="1"/>
  <c r="M5" i="1"/>
  <c r="H32" i="1"/>
  <c r="F59" i="1"/>
  <c r="O78" i="1"/>
  <c r="V5" i="1"/>
  <c r="V8" i="1"/>
  <c r="W11" i="1"/>
  <c r="X13" i="1"/>
  <c r="T28" i="1"/>
  <c r="V32" i="1"/>
  <c r="W22" i="1"/>
  <c r="T46" i="1"/>
  <c r="U53" i="1"/>
  <c r="V57" i="1"/>
  <c r="W64" i="1"/>
  <c r="T71" i="1"/>
  <c r="V77" i="1"/>
  <c r="U4" i="1"/>
  <c r="U19" i="1"/>
  <c r="V48" i="1"/>
  <c r="W12" i="1"/>
  <c r="X16" i="1"/>
  <c r="T62" i="1"/>
  <c r="U30" i="1"/>
  <c r="V37" i="1"/>
  <c r="W99" i="1"/>
  <c r="X43" i="1"/>
  <c r="T51" i="1"/>
  <c r="U56" i="1"/>
  <c r="V60" i="1"/>
  <c r="W49" i="1"/>
  <c r="X69" i="1"/>
  <c r="T18" i="1"/>
  <c r="U76" i="1"/>
  <c r="V80" i="1"/>
  <c r="W85" i="1"/>
  <c r="X88" i="1"/>
  <c r="T94" i="1"/>
  <c r="T101" i="1"/>
  <c r="C48" i="1"/>
  <c r="M16" i="1"/>
  <c r="H98" i="1"/>
  <c r="L23" i="1"/>
  <c r="O47" i="1"/>
  <c r="N56" i="1"/>
  <c r="C49" i="1"/>
  <c r="M29" i="1"/>
  <c r="J76" i="1"/>
  <c r="I83" i="1"/>
  <c r="D90" i="1"/>
  <c r="K95" i="1"/>
  <c r="W4" i="1"/>
  <c r="X10" i="1"/>
  <c r="T13" i="1"/>
  <c r="U25" i="1"/>
  <c r="W30" i="1"/>
  <c r="X37" i="1"/>
  <c r="U44" i="1"/>
  <c r="W56" i="1"/>
  <c r="U70" i="1"/>
  <c r="W76" i="1"/>
  <c r="T24" i="1"/>
  <c r="U89" i="1"/>
  <c r="V101" i="1"/>
  <c r="C25" i="1"/>
  <c r="H31" i="1"/>
  <c r="M45" i="1"/>
  <c r="F18" i="1"/>
  <c r="F90" i="1"/>
  <c r="U13" i="1"/>
  <c r="T63" i="1"/>
  <c r="W35" i="1"/>
  <c r="T82" i="1"/>
  <c r="V89" i="1"/>
  <c r="W101" i="1"/>
  <c r="J31" i="1"/>
  <c r="N45" i="1"/>
  <c r="M67" i="1"/>
  <c r="G24" i="1"/>
  <c r="T5" i="1"/>
  <c r="T27" i="1"/>
  <c r="V13" i="1"/>
  <c r="W25" i="1"/>
  <c r="X62" i="1"/>
  <c r="T32" i="1"/>
  <c r="V40" i="1"/>
  <c r="W44" i="1"/>
  <c r="T57" i="1"/>
  <c r="U63" i="1"/>
  <c r="X35" i="1"/>
  <c r="U82" i="1"/>
  <c r="X101" i="1"/>
  <c r="K31" i="1"/>
  <c r="O45" i="1"/>
  <c r="C35" i="1"/>
  <c r="L24" i="1"/>
  <c r="U5" i="1"/>
  <c r="U27" i="1"/>
  <c r="V11" i="1"/>
  <c r="W13" i="1"/>
  <c r="X25" i="1"/>
  <c r="T21" i="1"/>
  <c r="U32" i="1"/>
  <c r="V22" i="1"/>
  <c r="X44" i="1"/>
  <c r="U57" i="1"/>
  <c r="V63" i="1"/>
  <c r="W67" i="1"/>
  <c r="X70" i="1"/>
  <c r="U77" i="1"/>
  <c r="W24" i="1"/>
  <c r="T95" i="1"/>
  <c r="M28" i="1"/>
  <c r="P40" i="1"/>
  <c r="P100" i="1"/>
  <c r="P91" i="1"/>
  <c r="U21" i="1"/>
  <c r="X67" i="1"/>
  <c r="V4" i="1"/>
  <c r="V19" i="1"/>
  <c r="W10" i="1"/>
  <c r="X12" i="1"/>
  <c r="T17" i="1"/>
  <c r="U62" i="1"/>
  <c r="V30" i="1"/>
  <c r="W37" i="1"/>
  <c r="X99" i="1"/>
  <c r="T44" i="1"/>
  <c r="U51" i="1"/>
  <c r="V56" i="1"/>
  <c r="W60" i="1"/>
  <c r="X66" i="1"/>
  <c r="T70" i="1"/>
  <c r="U18" i="1"/>
  <c r="V76" i="1"/>
  <c r="W80" i="1"/>
  <c r="X85" i="1"/>
  <c r="T89" i="1"/>
  <c r="U94" i="1"/>
  <c r="U101" i="1"/>
  <c r="D48" i="1"/>
  <c r="Q17" i="1"/>
  <c r="G31" i="1"/>
  <c r="M23" i="1"/>
  <c r="E45" i="1"/>
  <c r="O56" i="1"/>
  <c r="E49" i="1"/>
  <c r="N29" i="1"/>
  <c r="K76" i="1"/>
  <c r="P83" i="1"/>
  <c r="E90" i="1"/>
  <c r="Q95" i="1"/>
  <c r="W19" i="1"/>
  <c r="V62" i="1"/>
  <c r="T39" i="1"/>
  <c r="V51" i="1"/>
  <c r="X60" i="1"/>
  <c r="T67" i="1"/>
  <c r="V35" i="1"/>
  <c r="X80" i="1"/>
  <c r="V94" i="1"/>
  <c r="D61" i="1"/>
  <c r="P39" i="1"/>
  <c r="L67" i="1"/>
  <c r="F24" i="1"/>
  <c r="X4" i="1"/>
  <c r="X19" i="1"/>
  <c r="T11" i="1"/>
  <c r="V25" i="1"/>
  <c r="W62" i="1"/>
  <c r="X31" i="1"/>
  <c r="T22" i="1"/>
  <c r="U39" i="1"/>
  <c r="V44" i="1"/>
  <c r="X56" i="1"/>
  <c r="U67" i="1"/>
  <c r="V70" i="1"/>
  <c r="X76" i="1"/>
  <c r="U24" i="1"/>
  <c r="W94" i="1"/>
  <c r="F28" i="1"/>
  <c r="Q39" i="1"/>
  <c r="Q18" i="1"/>
  <c r="C91" i="1"/>
  <c r="U11" i="1"/>
  <c r="X51" i="1"/>
  <c r="V67" i="1"/>
  <c r="T77" i="1"/>
  <c r="V24" i="1"/>
  <c r="X94" i="1"/>
  <c r="G28" i="1"/>
  <c r="I40" i="1"/>
  <c r="N67" i="1"/>
  <c r="O91" i="1"/>
  <c r="W40" i="1"/>
  <c r="T50" i="1"/>
  <c r="X90" i="1"/>
  <c r="H61" i="1"/>
  <c r="P45" i="1"/>
  <c r="D35" i="1"/>
  <c r="M24" i="1"/>
  <c r="G96" i="1"/>
  <c r="X40" i="1"/>
  <c r="Q91" i="1"/>
  <c r="K80" i="1"/>
  <c r="K68" i="1"/>
  <c r="E55" i="1"/>
  <c r="C38" i="1"/>
  <c r="O28" i="1"/>
  <c r="N7" i="1"/>
  <c r="T92" i="1"/>
  <c r="T84" i="1"/>
  <c r="X75" i="1"/>
  <c r="U29" i="1"/>
  <c r="X64" i="1"/>
  <c r="V53" i="1"/>
  <c r="T41" i="1"/>
  <c r="W32" i="1"/>
  <c r="U28" i="1"/>
  <c r="X11" i="1"/>
  <c r="W5" i="1"/>
  <c r="H97" i="1"/>
  <c r="H94" i="1"/>
  <c r="N91" i="1"/>
  <c r="F88" i="1"/>
  <c r="E24" i="1"/>
  <c r="H82" i="1"/>
  <c r="G78" i="1"/>
  <c r="P74" i="1"/>
  <c r="N34" i="1"/>
  <c r="Q69" i="1"/>
  <c r="M66" i="1"/>
  <c r="E64" i="1"/>
  <c r="P57" i="1"/>
  <c r="C54" i="1"/>
  <c r="N47" i="1"/>
  <c r="J42" i="1"/>
  <c r="D99" i="1"/>
  <c r="K36" i="1"/>
  <c r="E31" i="1"/>
  <c r="G62" i="1"/>
  <c r="O17" i="1"/>
  <c r="G13" i="1"/>
  <c r="K11" i="1"/>
  <c r="C8" i="1"/>
  <c r="X2" i="1"/>
  <c r="C3" i="1"/>
  <c r="D4" i="1"/>
  <c r="E5" i="1"/>
  <c r="F6" i="1"/>
  <c r="G7" i="1"/>
  <c r="H19" i="1"/>
  <c r="I27" i="1"/>
  <c r="J8" i="1"/>
  <c r="K9" i="1"/>
  <c r="L48" i="1"/>
  <c r="M10" i="1"/>
  <c r="N11" i="1"/>
  <c r="O61" i="1"/>
  <c r="P72" i="1"/>
  <c r="Q12" i="1"/>
  <c r="C14" i="1"/>
  <c r="D15" i="1"/>
  <c r="E16" i="1"/>
  <c r="F17" i="1"/>
  <c r="G25" i="1"/>
  <c r="H28" i="1"/>
  <c r="I26" i="1"/>
  <c r="J20" i="1"/>
  <c r="K62" i="1"/>
  <c r="L21" i="1"/>
  <c r="M73" i="1"/>
  <c r="N98" i="1"/>
  <c r="O30" i="1"/>
  <c r="P31" i="1"/>
  <c r="Q32" i="1"/>
  <c r="C36" i="1"/>
  <c r="D37" i="1"/>
  <c r="E22" i="1"/>
  <c r="F38" i="1"/>
  <c r="G23" i="1"/>
  <c r="H99" i="1"/>
  <c r="I39" i="1"/>
  <c r="J40" i="1"/>
  <c r="K41" i="1"/>
  <c r="L42" i="1"/>
  <c r="M43" i="1"/>
  <c r="N44" i="1"/>
  <c r="O46" i="1"/>
  <c r="P47" i="1"/>
  <c r="Q45" i="1"/>
  <c r="C52" i="1"/>
  <c r="D53" i="1"/>
  <c r="E54" i="1"/>
  <c r="F55" i="1"/>
  <c r="G56" i="1"/>
  <c r="H57" i="1"/>
  <c r="I58" i="1"/>
  <c r="J59" i="1"/>
  <c r="K60" i="1"/>
  <c r="L63" i="1"/>
  <c r="M64" i="1"/>
  <c r="N65" i="1"/>
  <c r="O49" i="1"/>
  <c r="P66" i="1"/>
  <c r="Q67" i="1"/>
  <c r="C68" i="1"/>
  <c r="D69" i="1"/>
  <c r="E70" i="1"/>
  <c r="F71" i="1"/>
  <c r="G29" i="1"/>
  <c r="H34" i="1"/>
  <c r="I18" i="1"/>
  <c r="J35" i="1"/>
  <c r="K50" i="1"/>
  <c r="L74" i="1"/>
  <c r="M75" i="1"/>
  <c r="N76" i="1"/>
  <c r="O77" i="1"/>
  <c r="P78" i="1"/>
  <c r="Q79" i="1"/>
  <c r="C81" i="1"/>
  <c r="D82" i="1"/>
  <c r="E83" i="1"/>
  <c r="F84" i="1"/>
  <c r="G85" i="1"/>
  <c r="H24" i="1"/>
  <c r="I86" i="1"/>
  <c r="J87" i="1"/>
  <c r="K88" i="1"/>
  <c r="L89" i="1"/>
  <c r="D3" i="1"/>
  <c r="E4" i="1"/>
  <c r="F5" i="1"/>
  <c r="G6" i="1"/>
  <c r="H7" i="1"/>
  <c r="I19" i="1"/>
  <c r="J27" i="1"/>
  <c r="K8" i="1"/>
  <c r="L9" i="1"/>
  <c r="M48" i="1"/>
  <c r="N10" i="1"/>
  <c r="O11" i="1"/>
  <c r="P61" i="1"/>
  <c r="Q72" i="1"/>
  <c r="C13" i="1"/>
  <c r="D14" i="1"/>
  <c r="E15" i="1"/>
  <c r="F16" i="1"/>
  <c r="G17" i="1"/>
  <c r="H25" i="1"/>
  <c r="I28" i="1"/>
  <c r="J26" i="1"/>
  <c r="K20" i="1"/>
  <c r="L62" i="1"/>
  <c r="M21" i="1"/>
  <c r="N73" i="1"/>
  <c r="O98" i="1"/>
  <c r="P30" i="1"/>
  <c r="Q31" i="1"/>
  <c r="C33" i="1"/>
  <c r="D36" i="1"/>
  <c r="E37" i="1"/>
  <c r="F22" i="1"/>
  <c r="G38" i="1"/>
  <c r="H23" i="1"/>
  <c r="I99" i="1"/>
  <c r="J39" i="1"/>
  <c r="K40" i="1"/>
  <c r="L41" i="1"/>
  <c r="M42" i="1"/>
  <c r="N43" i="1"/>
  <c r="O44" i="1"/>
  <c r="P46" i="1"/>
  <c r="Q47" i="1"/>
  <c r="C51" i="1"/>
  <c r="D52" i="1"/>
  <c r="E53" i="1"/>
  <c r="F54" i="1"/>
  <c r="G55" i="1"/>
  <c r="H56" i="1"/>
  <c r="I57" i="1"/>
  <c r="J58" i="1"/>
  <c r="K59" i="1"/>
  <c r="L60" i="1"/>
  <c r="M63" i="1"/>
  <c r="N64" i="1"/>
  <c r="O65" i="1"/>
  <c r="P49" i="1"/>
  <c r="Q66" i="1"/>
  <c r="C100" i="1"/>
  <c r="D68" i="1"/>
  <c r="E69" i="1"/>
  <c r="F70" i="1"/>
  <c r="G71" i="1"/>
  <c r="H29" i="1"/>
  <c r="I34" i="1"/>
  <c r="J18" i="1"/>
  <c r="K35" i="1"/>
  <c r="L50" i="1"/>
  <c r="M74" i="1"/>
  <c r="N75" i="1"/>
  <c r="O76" i="1"/>
  <c r="P77" i="1"/>
  <c r="Q78" i="1"/>
  <c r="C80" i="1"/>
  <c r="D81" i="1"/>
  <c r="E82" i="1"/>
  <c r="F83" i="1"/>
  <c r="G84" i="1"/>
  <c r="H85" i="1"/>
  <c r="I24" i="1"/>
  <c r="J86" i="1"/>
  <c r="K87" i="1"/>
  <c r="L88" i="1"/>
  <c r="M89" i="1"/>
  <c r="E3" i="1"/>
  <c r="F4" i="1"/>
  <c r="G5" i="1"/>
  <c r="H6" i="1"/>
  <c r="I7" i="1"/>
  <c r="J19" i="1"/>
  <c r="K27" i="1"/>
  <c r="L8" i="1"/>
  <c r="M9" i="1"/>
  <c r="N48" i="1"/>
  <c r="O10" i="1"/>
  <c r="P11" i="1"/>
  <c r="Q61" i="1"/>
  <c r="C12" i="1"/>
  <c r="D13" i="1"/>
  <c r="E14" i="1"/>
  <c r="F15" i="1"/>
  <c r="G16" i="1"/>
  <c r="H17" i="1"/>
  <c r="I25" i="1"/>
  <c r="J28" i="1"/>
  <c r="K26" i="1"/>
  <c r="L20" i="1"/>
  <c r="M62" i="1"/>
  <c r="N21" i="1"/>
  <c r="O73" i="1"/>
  <c r="P98" i="1"/>
  <c r="Q30" i="1"/>
  <c r="C32" i="1"/>
  <c r="D33" i="1"/>
  <c r="E36" i="1"/>
  <c r="F37" i="1"/>
  <c r="G22" i="1"/>
  <c r="H38" i="1"/>
  <c r="I23" i="1"/>
  <c r="J99" i="1"/>
  <c r="K39" i="1"/>
  <c r="L40" i="1"/>
  <c r="M41" i="1"/>
  <c r="N42" i="1"/>
  <c r="O43" i="1"/>
  <c r="P44" i="1"/>
  <c r="Q46" i="1"/>
  <c r="C45" i="1"/>
  <c r="D51" i="1"/>
  <c r="E52" i="1"/>
  <c r="F53" i="1"/>
  <c r="G54" i="1"/>
  <c r="H55" i="1"/>
  <c r="I56" i="1"/>
  <c r="J57" i="1"/>
  <c r="K58" i="1"/>
  <c r="L59" i="1"/>
  <c r="M60" i="1"/>
  <c r="N63" i="1"/>
  <c r="O64" i="1"/>
  <c r="P65" i="1"/>
  <c r="Q49" i="1"/>
  <c r="C67" i="1"/>
  <c r="D100" i="1"/>
  <c r="E68" i="1"/>
  <c r="F69" i="1"/>
  <c r="G70" i="1"/>
  <c r="H71" i="1"/>
  <c r="I29" i="1"/>
  <c r="J34" i="1"/>
  <c r="K18" i="1"/>
  <c r="L35" i="1"/>
  <c r="M50" i="1"/>
  <c r="N74" i="1"/>
  <c r="O75" i="1"/>
  <c r="P76" i="1"/>
  <c r="Q77" i="1"/>
  <c r="C79" i="1"/>
  <c r="D80" i="1"/>
  <c r="E81" i="1"/>
  <c r="F82" i="1"/>
  <c r="G83" i="1"/>
  <c r="H84" i="1"/>
  <c r="I85" i="1"/>
  <c r="J24" i="1"/>
  <c r="K86" i="1"/>
  <c r="L87" i="1"/>
  <c r="M88" i="1"/>
  <c r="N89" i="1"/>
  <c r="F3" i="1"/>
  <c r="G4" i="1"/>
  <c r="H5" i="1"/>
  <c r="I6" i="1"/>
  <c r="J7" i="1"/>
  <c r="K19" i="1"/>
  <c r="L27" i="1"/>
  <c r="M8" i="1"/>
  <c r="N9" i="1"/>
  <c r="O48" i="1"/>
  <c r="P10" i="1"/>
  <c r="Q11" i="1"/>
  <c r="C72" i="1"/>
  <c r="D12" i="1"/>
  <c r="E13" i="1"/>
  <c r="F14" i="1"/>
  <c r="G15" i="1"/>
  <c r="H16" i="1"/>
  <c r="I17" i="1"/>
  <c r="J25" i="1"/>
  <c r="K28" i="1"/>
  <c r="L26" i="1"/>
  <c r="M20" i="1"/>
  <c r="N62" i="1"/>
  <c r="O21" i="1"/>
  <c r="P73" i="1"/>
  <c r="Q98" i="1"/>
  <c r="C31" i="1"/>
  <c r="D32" i="1"/>
  <c r="E33" i="1"/>
  <c r="F36" i="1"/>
  <c r="G37" i="1"/>
  <c r="H22" i="1"/>
  <c r="I38" i="1"/>
  <c r="J23" i="1"/>
  <c r="K99" i="1"/>
  <c r="L39" i="1"/>
  <c r="M40" i="1"/>
  <c r="N41" i="1"/>
  <c r="O42" i="1"/>
  <c r="P43" i="1"/>
  <c r="Q44" i="1"/>
  <c r="C47" i="1"/>
  <c r="D45" i="1"/>
  <c r="E51" i="1"/>
  <c r="F52" i="1"/>
  <c r="G53" i="1"/>
  <c r="H54" i="1"/>
  <c r="I55" i="1"/>
  <c r="J56" i="1"/>
  <c r="K57" i="1"/>
  <c r="L58" i="1"/>
  <c r="M59" i="1"/>
  <c r="N60" i="1"/>
  <c r="O63" i="1"/>
  <c r="P64" i="1"/>
  <c r="Q65" i="1"/>
  <c r="C66" i="1"/>
  <c r="D67" i="1"/>
  <c r="E100" i="1"/>
  <c r="F68" i="1"/>
  <c r="G69" i="1"/>
  <c r="H70" i="1"/>
  <c r="I71" i="1"/>
  <c r="J29" i="1"/>
  <c r="K34" i="1"/>
  <c r="L18" i="1"/>
  <c r="M35" i="1"/>
  <c r="N50" i="1"/>
  <c r="O74" i="1"/>
  <c r="P75" i="1"/>
  <c r="Q76" i="1"/>
  <c r="C78" i="1"/>
  <c r="D79" i="1"/>
  <c r="E80" i="1"/>
  <c r="F81" i="1"/>
  <c r="G82" i="1"/>
  <c r="H83" i="1"/>
  <c r="I84" i="1"/>
  <c r="J85" i="1"/>
  <c r="K24" i="1"/>
  <c r="L86" i="1"/>
  <c r="M87" i="1"/>
  <c r="N88" i="1"/>
  <c r="O89" i="1"/>
  <c r="G3" i="1"/>
  <c r="H4" i="1"/>
  <c r="I5" i="1"/>
  <c r="J6" i="1"/>
  <c r="K7" i="1"/>
  <c r="L19" i="1"/>
  <c r="M27" i="1"/>
  <c r="N8" i="1"/>
  <c r="O9" i="1"/>
  <c r="P48" i="1"/>
  <c r="Q10" i="1"/>
  <c r="C61" i="1"/>
  <c r="D72" i="1"/>
  <c r="E12" i="1"/>
  <c r="F13" i="1"/>
  <c r="G14" i="1"/>
  <c r="H15" i="1"/>
  <c r="I16" i="1"/>
  <c r="J17" i="1"/>
  <c r="K25" i="1"/>
  <c r="L28" i="1"/>
  <c r="M26" i="1"/>
  <c r="N20" i="1"/>
  <c r="O62" i="1"/>
  <c r="P21" i="1"/>
  <c r="Q73" i="1"/>
  <c r="C30" i="1"/>
  <c r="D31" i="1"/>
  <c r="E32" i="1"/>
  <c r="F33" i="1"/>
  <c r="G36" i="1"/>
  <c r="H37" i="1"/>
  <c r="I22" i="1"/>
  <c r="J38" i="1"/>
  <c r="K23" i="1"/>
  <c r="L99" i="1"/>
  <c r="M39" i="1"/>
  <c r="N40" i="1"/>
  <c r="H3" i="1"/>
  <c r="N4" i="1"/>
  <c r="E6" i="1"/>
  <c r="P7" i="1"/>
  <c r="G27" i="1"/>
  <c r="C9" i="1"/>
  <c r="I48" i="1"/>
  <c r="E11" i="1"/>
  <c r="K61" i="1"/>
  <c r="G12" i="1"/>
  <c r="M13" i="1"/>
  <c r="I15" i="1"/>
  <c r="O16" i="1"/>
  <c r="F25" i="1"/>
  <c r="Q28" i="1"/>
  <c r="H20" i="1"/>
  <c r="D21" i="1"/>
  <c r="J73" i="1"/>
  <c r="F30" i="1"/>
  <c r="L31" i="1"/>
  <c r="H33" i="1"/>
  <c r="N36" i="1"/>
  <c r="J22" i="1"/>
  <c r="P38" i="1"/>
  <c r="G99" i="1"/>
  <c r="C40" i="1"/>
  <c r="I41" i="1"/>
  <c r="C43" i="1"/>
  <c r="H44" i="1"/>
  <c r="M46" i="1"/>
  <c r="G45" i="1"/>
  <c r="L51" i="1"/>
  <c r="Q52" i="1"/>
  <c r="K54" i="1"/>
  <c r="P55" i="1"/>
  <c r="F57" i="1"/>
  <c r="O58" i="1"/>
  <c r="E60" i="1"/>
  <c r="J63" i="1"/>
  <c r="D65" i="1"/>
  <c r="I49" i="1"/>
  <c r="N66" i="1"/>
  <c r="H100" i="1"/>
  <c r="M68" i="1"/>
  <c r="C70" i="1"/>
  <c r="L71" i="1"/>
  <c r="Q29" i="1"/>
  <c r="G18" i="1"/>
  <c r="P35" i="1"/>
  <c r="F74" i="1"/>
  <c r="K75" i="1"/>
  <c r="E77" i="1"/>
  <c r="J78" i="1"/>
  <c r="O79" i="1"/>
  <c r="I81" i="1"/>
  <c r="N82" i="1"/>
  <c r="D84" i="1"/>
  <c r="M85" i="1"/>
  <c r="C86" i="1"/>
  <c r="H87" i="1"/>
  <c r="Q88" i="1"/>
  <c r="G90" i="1"/>
  <c r="H91" i="1"/>
  <c r="I92" i="1"/>
  <c r="J93" i="1"/>
  <c r="K94" i="1"/>
  <c r="L95" i="1"/>
  <c r="M96" i="1"/>
  <c r="N97" i="1"/>
  <c r="O101" i="1"/>
  <c r="G86" i="1"/>
  <c r="M92" i="1"/>
  <c r="C101" i="1"/>
  <c r="O6" i="1"/>
  <c r="L12" i="1"/>
  <c r="P25" i="1"/>
  <c r="I21" i="1"/>
  <c r="M33" i="1"/>
  <c r="Q99" i="1"/>
  <c r="H43" i="1"/>
  <c r="L45" i="1"/>
  <c r="F56" i="1"/>
  <c r="J60" i="1"/>
  <c r="N49" i="1"/>
  <c r="C69" i="1"/>
  <c r="I3" i="1"/>
  <c r="O4" i="1"/>
  <c r="K6" i="1"/>
  <c r="Q7" i="1"/>
  <c r="H27" i="1"/>
  <c r="D9" i="1"/>
  <c r="J48" i="1"/>
  <c r="F11" i="1"/>
  <c r="L61" i="1"/>
  <c r="H12" i="1"/>
  <c r="N13" i="1"/>
  <c r="J15" i="1"/>
  <c r="P16" i="1"/>
  <c r="L25" i="1"/>
  <c r="C26" i="1"/>
  <c r="I20" i="1"/>
  <c r="E21" i="1"/>
  <c r="K73" i="1"/>
  <c r="G30" i="1"/>
  <c r="M31" i="1"/>
  <c r="I33" i="1"/>
  <c r="O36" i="1"/>
  <c r="K22" i="1"/>
  <c r="Q38" i="1"/>
  <c r="M99" i="1"/>
  <c r="D40" i="1"/>
  <c r="J41" i="1"/>
  <c r="D43" i="1"/>
  <c r="I44" i="1"/>
  <c r="N46" i="1"/>
  <c r="H45" i="1"/>
  <c r="M51" i="1"/>
  <c r="C53" i="1"/>
  <c r="L54" i="1"/>
  <c r="Q55" i="1"/>
  <c r="G57" i="1"/>
  <c r="P58" i="1"/>
  <c r="F60" i="1"/>
  <c r="K63" i="1"/>
  <c r="E65" i="1"/>
  <c r="J49" i="1"/>
  <c r="O66" i="1"/>
  <c r="I100" i="1"/>
  <c r="N68" i="1"/>
  <c r="D70" i="1"/>
  <c r="M71" i="1"/>
  <c r="C34" i="1"/>
  <c r="H18" i="1"/>
  <c r="Q35" i="1"/>
  <c r="G74" i="1"/>
  <c r="L75" i="1"/>
  <c r="F77" i="1"/>
  <c r="K78" i="1"/>
  <c r="P79" i="1"/>
  <c r="J81" i="1"/>
  <c r="O82" i="1"/>
  <c r="E84" i="1"/>
  <c r="N85" i="1"/>
  <c r="D86" i="1"/>
  <c r="I87" i="1"/>
  <c r="C89" i="1"/>
  <c r="H90" i="1"/>
  <c r="I91" i="1"/>
  <c r="J92" i="1"/>
  <c r="K93" i="1"/>
  <c r="L94" i="1"/>
  <c r="M95" i="1"/>
  <c r="N96" i="1"/>
  <c r="O97" i="1"/>
  <c r="P101" i="1"/>
  <c r="J3" i="1"/>
  <c r="P4" i="1"/>
  <c r="L6" i="1"/>
  <c r="C19" i="1"/>
  <c r="N27" i="1"/>
  <c r="E9" i="1"/>
  <c r="K48" i="1"/>
  <c r="G11" i="1"/>
  <c r="M61" i="1"/>
  <c r="I12" i="1"/>
  <c r="O13" i="1"/>
  <c r="K15" i="1"/>
  <c r="Q16" i="1"/>
  <c r="M25" i="1"/>
  <c r="D26" i="1"/>
  <c r="O20" i="1"/>
  <c r="F21" i="1"/>
  <c r="L73" i="1"/>
  <c r="H30" i="1"/>
  <c r="N31" i="1"/>
  <c r="J33" i="1"/>
  <c r="P36" i="1"/>
  <c r="L22" i="1"/>
  <c r="C23" i="1"/>
  <c r="N99" i="1"/>
  <c r="E40" i="1"/>
  <c r="O41" i="1"/>
  <c r="E43" i="1"/>
  <c r="J44" i="1"/>
  <c r="D47" i="1"/>
  <c r="I45" i="1"/>
  <c r="N51" i="1"/>
  <c r="H53" i="1"/>
  <c r="M54" i="1"/>
  <c r="C56" i="1"/>
  <c r="L57" i="1"/>
  <c r="Q58" i="1"/>
  <c r="G60" i="1"/>
  <c r="P63" i="1"/>
  <c r="F65" i="1"/>
  <c r="K49" i="1"/>
  <c r="E67" i="1"/>
  <c r="J100" i="1"/>
  <c r="O68" i="1"/>
  <c r="I70" i="1"/>
  <c r="N71" i="1"/>
  <c r="D34" i="1"/>
  <c r="M18" i="1"/>
  <c r="C50" i="1"/>
  <c r="H74" i="1"/>
  <c r="Q75" i="1"/>
  <c r="G77" i="1"/>
  <c r="L78" i="1"/>
  <c r="F80" i="1"/>
  <c r="K81" i="1"/>
  <c r="P82" i="1"/>
  <c r="J84" i="1"/>
  <c r="O85" i="1"/>
  <c r="E86" i="1"/>
  <c r="N87" i="1"/>
  <c r="D89" i="1"/>
  <c r="I90" i="1"/>
  <c r="J91" i="1"/>
  <c r="K92" i="1"/>
  <c r="L93" i="1"/>
  <c r="M94" i="1"/>
  <c r="N95" i="1"/>
  <c r="O96" i="1"/>
  <c r="P97" i="1"/>
  <c r="Q101" i="1"/>
  <c r="P87" i="1"/>
  <c r="O94" i="1"/>
  <c r="K3" i="1"/>
  <c r="Q4" i="1"/>
  <c r="M6" i="1"/>
  <c r="D19" i="1"/>
  <c r="O27" i="1"/>
  <c r="F9" i="1"/>
  <c r="Q48" i="1"/>
  <c r="H11" i="1"/>
  <c r="N61" i="1"/>
  <c r="J12" i="1"/>
  <c r="P13" i="1"/>
  <c r="L15" i="1"/>
  <c r="C17" i="1"/>
  <c r="N25" i="1"/>
  <c r="E26" i="1"/>
  <c r="P20" i="1"/>
  <c r="G21" i="1"/>
  <c r="C98" i="1"/>
  <c r="I30" i="1"/>
  <c r="O31" i="1"/>
  <c r="K33" i="1"/>
  <c r="Q36" i="1"/>
  <c r="M22" i="1"/>
  <c r="D23" i="1"/>
  <c r="O99" i="1"/>
  <c r="F40" i="1"/>
  <c r="P41" i="1"/>
  <c r="F43" i="1"/>
  <c r="K44" i="1"/>
  <c r="E47" i="1"/>
  <c r="J45" i="1"/>
  <c r="O51" i="1"/>
  <c r="I53" i="1"/>
  <c r="N54" i="1"/>
  <c r="D56" i="1"/>
  <c r="M57" i="1"/>
  <c r="C59" i="1"/>
  <c r="H60" i="1"/>
  <c r="Q63" i="1"/>
  <c r="G65" i="1"/>
  <c r="L49" i="1"/>
  <c r="F67" i="1"/>
  <c r="K100" i="1"/>
  <c r="P68" i="1"/>
  <c r="J70" i="1"/>
  <c r="O71" i="1"/>
  <c r="E34" i="1"/>
  <c r="N18" i="1"/>
  <c r="D50" i="1"/>
  <c r="I74" i="1"/>
  <c r="C76" i="1"/>
  <c r="H77" i="1"/>
  <c r="M78" i="1"/>
  <c r="G80" i="1"/>
  <c r="L81" i="1"/>
  <c r="Q82" i="1"/>
  <c r="K84" i="1"/>
  <c r="P85" i="1"/>
  <c r="F86" i="1"/>
  <c r="O87" i="1"/>
  <c r="E89" i="1"/>
  <c r="J90" i="1"/>
  <c r="K91" i="1"/>
  <c r="L92" i="1"/>
  <c r="M93" i="1"/>
  <c r="N94" i="1"/>
  <c r="O95" i="1"/>
  <c r="P96" i="1"/>
  <c r="Q97" i="1"/>
  <c r="K90" i="1"/>
  <c r="P95" i="1"/>
  <c r="D5" i="1"/>
  <c r="H14" i="1"/>
  <c r="G26" i="1"/>
  <c r="K30" i="1"/>
  <c r="I37" i="1"/>
  <c r="F23" i="1"/>
  <c r="C42" i="1"/>
  <c r="G47" i="1"/>
  <c r="K53" i="1"/>
  <c r="O57" i="1"/>
  <c r="D64" i="1"/>
  <c r="M100" i="1"/>
  <c r="Q71" i="1"/>
  <c r="L3" i="1"/>
  <c r="C5" i="1"/>
  <c r="N6" i="1"/>
  <c r="E19" i="1"/>
  <c r="P27" i="1"/>
  <c r="G9" i="1"/>
  <c r="C10" i="1"/>
  <c r="I11" i="1"/>
  <c r="E72" i="1"/>
  <c r="K12" i="1"/>
  <c r="Q13" i="1"/>
  <c r="M15" i="1"/>
  <c r="D17" i="1"/>
  <c r="O25" i="1"/>
  <c r="F26" i="1"/>
  <c r="Q20" i="1"/>
  <c r="H21" i="1"/>
  <c r="D98" i="1"/>
  <c r="J30" i="1"/>
  <c r="F32" i="1"/>
  <c r="L33" i="1"/>
  <c r="C37" i="1"/>
  <c r="N22" i="1"/>
  <c r="E23" i="1"/>
  <c r="P99" i="1"/>
  <c r="G40" i="1"/>
  <c r="Q41" i="1"/>
  <c r="G43" i="1"/>
  <c r="L44" i="1"/>
  <c r="F47" i="1"/>
  <c r="K45" i="1"/>
  <c r="P51" i="1"/>
  <c r="J53" i="1"/>
  <c r="O54" i="1"/>
  <c r="E56" i="1"/>
  <c r="N57" i="1"/>
  <c r="D59" i="1"/>
  <c r="I60" i="1"/>
  <c r="C64" i="1"/>
  <c r="H65" i="1"/>
  <c r="M49" i="1"/>
  <c r="G67" i="1"/>
  <c r="L100" i="1"/>
  <c r="Q68" i="1"/>
  <c r="K70" i="1"/>
  <c r="P71" i="1"/>
  <c r="F34" i="1"/>
  <c r="O18" i="1"/>
  <c r="E50" i="1"/>
  <c r="J74" i="1"/>
  <c r="D76" i="1"/>
  <c r="I77" i="1"/>
  <c r="N78" i="1"/>
  <c r="H80" i="1"/>
  <c r="M81" i="1"/>
  <c r="C83" i="1"/>
  <c r="L84" i="1"/>
  <c r="Q85" i="1"/>
  <c r="F89" i="1"/>
  <c r="L91" i="1"/>
  <c r="N93" i="1"/>
  <c r="Q96" i="1"/>
  <c r="M3" i="1"/>
  <c r="F19" i="1"/>
  <c r="Q27" i="1"/>
  <c r="H9" i="1"/>
  <c r="D10" i="1"/>
  <c r="J11" i="1"/>
  <c r="F72" i="1"/>
  <c r="N15" i="1"/>
  <c r="E17" i="1"/>
  <c r="C62" i="1"/>
  <c r="E98" i="1"/>
  <c r="G32" i="1"/>
  <c r="O22" i="1"/>
  <c r="H40" i="1"/>
  <c r="M44" i="1"/>
  <c r="Q51" i="1"/>
  <c r="P54" i="1"/>
  <c r="E59" i="1"/>
  <c r="I65" i="1"/>
  <c r="H67" i="1"/>
  <c r="L70" i="1"/>
  <c r="P18" i="1"/>
  <c r="N3" i="1"/>
  <c r="P5" i="1"/>
  <c r="N19" i="1"/>
  <c r="P8" i="1"/>
  <c r="I10" i="1"/>
  <c r="G72" i="1"/>
  <c r="I13" i="1"/>
  <c r="Q15" i="1"/>
  <c r="D25" i="1"/>
  <c r="Q26" i="1"/>
  <c r="J21" i="1"/>
  <c r="L98" i="1"/>
  <c r="J32" i="1"/>
  <c r="L36" i="1"/>
  <c r="E38" i="1"/>
  <c r="C39" i="1"/>
  <c r="E41" i="1"/>
  <c r="K43" i="1"/>
  <c r="K46" i="1"/>
  <c r="F51" i="1"/>
  <c r="L53" i="1"/>
  <c r="L55" i="1"/>
  <c r="C58" i="1"/>
  <c r="C60" i="1"/>
  <c r="I64" i="1"/>
  <c r="D66" i="1"/>
  <c r="O67" i="1"/>
  <c r="J69" i="1"/>
  <c r="J71" i="1"/>
  <c r="O34" i="1"/>
  <c r="O35" i="1"/>
  <c r="D75" i="1"/>
  <c r="C77" i="1"/>
  <c r="G79" i="1"/>
  <c r="Q80" i="1"/>
  <c r="J83" i="1"/>
  <c r="E85" i="1"/>
  <c r="M86" i="1"/>
  <c r="H88" i="1"/>
  <c r="L90" i="1"/>
  <c r="C92" i="1"/>
  <c r="I93" i="1"/>
  <c r="E95" i="1"/>
  <c r="K96" i="1"/>
  <c r="G101" i="1"/>
  <c r="C65" i="1"/>
  <c r="D24" i="1"/>
  <c r="D94" i="1"/>
  <c r="O3" i="1"/>
  <c r="Q5" i="1"/>
  <c r="O19" i="1"/>
  <c r="Q8" i="1"/>
  <c r="J10" i="1"/>
  <c r="H72" i="1"/>
  <c r="J13" i="1"/>
  <c r="C16" i="1"/>
  <c r="E25" i="1"/>
  <c r="C20" i="1"/>
  <c r="K21" i="1"/>
  <c r="M98" i="1"/>
  <c r="K32" i="1"/>
  <c r="M36" i="1"/>
  <c r="K38" i="1"/>
  <c r="D39" i="1"/>
  <c r="F41" i="1"/>
  <c r="L43" i="1"/>
  <c r="L46" i="1"/>
  <c r="G51" i="1"/>
  <c r="M53" i="1"/>
  <c r="M55" i="1"/>
  <c r="D58" i="1"/>
  <c r="D60" i="1"/>
  <c r="J64" i="1"/>
  <c r="E66" i="1"/>
  <c r="P67" i="1"/>
  <c r="K69" i="1"/>
  <c r="K71" i="1"/>
  <c r="P34" i="1"/>
  <c r="F50" i="1"/>
  <c r="E75" i="1"/>
  <c r="D77" i="1"/>
  <c r="H79" i="1"/>
  <c r="G81" i="1"/>
  <c r="K83" i="1"/>
  <c r="F85" i="1"/>
  <c r="N86" i="1"/>
  <c r="I88" i="1"/>
  <c r="M90" i="1"/>
  <c r="D92" i="1"/>
  <c r="O93" i="1"/>
  <c r="F95" i="1"/>
  <c r="L96" i="1"/>
  <c r="H101" i="1"/>
  <c r="L85" i="1"/>
  <c r="D97" i="1"/>
  <c r="P6" i="1"/>
  <c r="C11" i="1"/>
  <c r="I14" i="1"/>
  <c r="F20" i="1"/>
  <c r="L37" i="1"/>
  <c r="D42" i="1"/>
  <c r="J47" i="1"/>
  <c r="K56" i="1"/>
  <c r="Q60" i="1"/>
  <c r="N100" i="1"/>
  <c r="D18" i="1"/>
  <c r="H75" i="1"/>
  <c r="O81" i="1"/>
  <c r="Q86" i="1"/>
  <c r="P90" i="1"/>
  <c r="I95" i="1"/>
  <c r="Q6" i="1"/>
  <c r="L72" i="1"/>
  <c r="L16" i="1"/>
  <c r="E73" i="1"/>
  <c r="O38" i="1"/>
  <c r="E44" i="1"/>
  <c r="K51" i="1"/>
  <c r="L56" i="1"/>
  <c r="C63" i="1"/>
  <c r="O69" i="1"/>
  <c r="J50" i="1"/>
  <c r="M77" i="1"/>
  <c r="O83" i="1"/>
  <c r="Q90" i="1"/>
  <c r="H92" i="1"/>
  <c r="L101" i="1"/>
  <c r="P3" i="1"/>
  <c r="C6" i="1"/>
  <c r="P19" i="1"/>
  <c r="I9" i="1"/>
  <c r="K10" i="1"/>
  <c r="I72" i="1"/>
  <c r="K13" i="1"/>
  <c r="D16" i="1"/>
  <c r="Q25" i="1"/>
  <c r="D20" i="1"/>
  <c r="Q21" i="1"/>
  <c r="D30" i="1"/>
  <c r="L32" i="1"/>
  <c r="J37" i="1"/>
  <c r="L38" i="1"/>
  <c r="E39" i="1"/>
  <c r="G41" i="1"/>
  <c r="Q43" i="1"/>
  <c r="H47" i="1"/>
  <c r="H51" i="1"/>
  <c r="N53" i="1"/>
  <c r="N55" i="1"/>
  <c r="E58" i="1"/>
  <c r="O60" i="1"/>
  <c r="K64" i="1"/>
  <c r="F66" i="1"/>
  <c r="F100" i="1"/>
  <c r="L69" i="1"/>
  <c r="C29" i="1"/>
  <c r="Q34" i="1"/>
  <c r="G50" i="1"/>
  <c r="F75" i="1"/>
  <c r="J77" i="1"/>
  <c r="I79" i="1"/>
  <c r="H81" i="1"/>
  <c r="L83" i="1"/>
  <c r="K85" i="1"/>
  <c r="O86" i="1"/>
  <c r="J88" i="1"/>
  <c r="N90" i="1"/>
  <c r="E92" i="1"/>
  <c r="P93" i="1"/>
  <c r="G95" i="1"/>
  <c r="C97" i="1"/>
  <c r="I101" i="1"/>
  <c r="G75" i="1"/>
  <c r="M83" i="1"/>
  <c r="O88" i="1"/>
  <c r="O90" i="1"/>
  <c r="Q93" i="1"/>
  <c r="J101" i="1"/>
  <c r="C4" i="1"/>
  <c r="P9" i="1"/>
  <c r="K72" i="1"/>
  <c r="K16" i="1"/>
  <c r="D73" i="1"/>
  <c r="N32" i="1"/>
  <c r="N38" i="1"/>
  <c r="D44" i="1"/>
  <c r="J51" i="1"/>
  <c r="G58" i="1"/>
  <c r="H66" i="1"/>
  <c r="N69" i="1"/>
  <c r="I50" i="1"/>
  <c r="K79" i="1"/>
  <c r="N83" i="1"/>
  <c r="P88" i="1"/>
  <c r="C94" i="1"/>
  <c r="E97" i="1"/>
  <c r="I4" i="1"/>
  <c r="Q9" i="1"/>
  <c r="D11" i="1"/>
  <c r="J14" i="1"/>
  <c r="G20" i="1"/>
  <c r="M30" i="1"/>
  <c r="M37" i="1"/>
  <c r="H39" i="1"/>
  <c r="K47" i="1"/>
  <c r="H58" i="1"/>
  <c r="O100" i="1"/>
  <c r="F29" i="1"/>
  <c r="I75" i="1"/>
  <c r="P81" i="1"/>
  <c r="G89" i="1"/>
  <c r="F97" i="1"/>
  <c r="Q3" i="1"/>
  <c r="D6" i="1"/>
  <c r="Q19" i="1"/>
  <c r="J9" i="1"/>
  <c r="L10" i="1"/>
  <c r="J72" i="1"/>
  <c r="L13" i="1"/>
  <c r="J16" i="1"/>
  <c r="C28" i="1"/>
  <c r="E20" i="1"/>
  <c r="C73" i="1"/>
  <c r="E30" i="1"/>
  <c r="M32" i="1"/>
  <c r="K37" i="1"/>
  <c r="M38" i="1"/>
  <c r="F39" i="1"/>
  <c r="H41" i="1"/>
  <c r="C44" i="1"/>
  <c r="I47" i="1"/>
  <c r="I51" i="1"/>
  <c r="O53" i="1"/>
  <c r="O55" i="1"/>
  <c r="F58" i="1"/>
  <c r="P60" i="1"/>
  <c r="L64" i="1"/>
  <c r="G66" i="1"/>
  <c r="G100" i="1"/>
  <c r="M69" i="1"/>
  <c r="D29" i="1"/>
  <c r="C18" i="1"/>
  <c r="H50" i="1"/>
  <c r="K77" i="1"/>
  <c r="J79" i="1"/>
  <c r="N81" i="1"/>
  <c r="P86" i="1"/>
  <c r="F92" i="1"/>
  <c r="H95" i="1"/>
  <c r="C27" i="1"/>
  <c r="D28" i="1"/>
  <c r="L30" i="1"/>
  <c r="G39" i="1"/>
  <c r="P53" i="1"/>
  <c r="Q64" i="1"/>
  <c r="E29" i="1"/>
  <c r="L77" i="1"/>
  <c r="C24" i="1"/>
  <c r="G92" i="1"/>
  <c r="K101" i="1"/>
  <c r="D27" i="1"/>
  <c r="E28" i="1"/>
  <c r="O32" i="1"/>
  <c r="E42" i="1"/>
  <c r="Q53" i="1"/>
  <c r="I66" i="1"/>
  <c r="E18" i="1"/>
  <c r="L79" i="1"/>
  <c r="C87" i="1"/>
  <c r="J95" i="1"/>
  <c r="K5" i="1"/>
  <c r="M7" i="1"/>
  <c r="F8" i="1"/>
  <c r="H48" i="1"/>
  <c r="F61" i="1"/>
  <c r="N12" i="1"/>
  <c r="P14" i="1"/>
  <c r="N17" i="1"/>
  <c r="P28" i="1"/>
  <c r="I62" i="1"/>
  <c r="G98" i="1"/>
  <c r="I31" i="1"/>
  <c r="Q33" i="1"/>
  <c r="D22" i="1"/>
  <c r="Q23" i="1"/>
  <c r="O40" i="1"/>
  <c r="K42" i="1"/>
  <c r="F46" i="1"/>
  <c r="F45" i="1"/>
  <c r="L52" i="1"/>
  <c r="C55" i="1"/>
  <c r="C57" i="1"/>
  <c r="I59" i="1"/>
  <c r="I63" i="1"/>
  <c r="D49" i="1"/>
  <c r="J67" i="1"/>
  <c r="J68" i="1"/>
  <c r="P70" i="1"/>
  <c r="P29" i="1"/>
  <c r="F35" i="1"/>
  <c r="E74" i="1"/>
  <c r="I76" i="1"/>
  <c r="H78" i="1"/>
  <c r="L80" i="1"/>
  <c r="K82" i="1"/>
  <c r="O84" i="1"/>
  <c r="N24" i="1"/>
  <c r="C88" i="1"/>
  <c r="Q89" i="1"/>
  <c r="M91" i="1"/>
  <c r="D93" i="1"/>
  <c r="J94" i="1"/>
  <c r="F96" i="1"/>
  <c r="L97" i="1"/>
  <c r="G97" i="1"/>
  <c r="G94" i="1"/>
  <c r="G91" i="1"/>
  <c r="E88" i="1"/>
  <c r="D85" i="1"/>
  <c r="C82" i="1"/>
  <c r="F78" i="1"/>
  <c r="K74" i="1"/>
  <c r="M34" i="1"/>
  <c r="P69" i="1"/>
  <c r="L66" i="1"/>
  <c r="H63" i="1"/>
  <c r="E57" i="1"/>
  <c r="P52" i="1"/>
  <c r="M47" i="1"/>
  <c r="I42" i="1"/>
  <c r="C99" i="1"/>
  <c r="J36" i="1"/>
  <c r="N30" i="1"/>
  <c r="F62" i="1"/>
  <c r="M17" i="1"/>
  <c r="P12" i="1"/>
  <c r="H10" i="1"/>
  <c r="F27" i="1"/>
  <c r="M4" i="1"/>
  <c r="J96" i="1"/>
  <c r="F94" i="1"/>
  <c r="F91" i="1"/>
  <c r="D88" i="1"/>
  <c r="C85" i="1"/>
  <c r="Q81" i="1"/>
  <c r="E78" i="1"/>
  <c r="D74" i="1"/>
  <c r="L34" i="1"/>
  <c r="I69" i="1"/>
  <c r="K66" i="1"/>
  <c r="G63" i="1"/>
  <c r="D57" i="1"/>
  <c r="O52" i="1"/>
  <c r="L47" i="1"/>
  <c r="H42" i="1"/>
  <c r="P23" i="1"/>
  <c r="I36" i="1"/>
  <c r="K98" i="1"/>
  <c r="E62" i="1"/>
  <c r="L17" i="1"/>
  <c r="O12" i="1"/>
  <c r="G10" i="1"/>
  <c r="E27" i="1"/>
  <c r="L4" i="1"/>
  <c r="I96" i="1"/>
  <c r="E94" i="1"/>
  <c r="E91" i="1"/>
  <c r="Q87" i="1"/>
  <c r="Q84" i="1"/>
  <c r="P80" i="1"/>
  <c r="D78" i="1"/>
  <c r="C74" i="1"/>
  <c r="G34" i="1"/>
  <c r="H69" i="1"/>
  <c r="J66" i="1"/>
  <c r="F63" i="1"/>
  <c r="Q56" i="1"/>
  <c r="N52" i="1"/>
  <c r="J46" i="1"/>
  <c r="G42" i="1"/>
  <c r="O23" i="1"/>
  <c r="H36" i="1"/>
  <c r="J98" i="1"/>
  <c r="D62" i="1"/>
  <c r="K17" i="1"/>
  <c r="M12" i="1"/>
  <c r="F10" i="1"/>
  <c r="M19" i="1"/>
  <c r="K4" i="1"/>
  <c r="F31" i="1"/>
  <c r="H62" i="1"/>
  <c r="P17" i="1"/>
  <c r="H13" i="1"/>
  <c r="L11" i="1"/>
  <c r="D8" i="1"/>
  <c r="L5" i="1"/>
  <c r="H96" i="1"/>
  <c r="H93" i="1"/>
  <c r="D91" i="1"/>
  <c r="G87" i="1"/>
  <c r="P84" i="1"/>
  <c r="O80" i="1"/>
  <c r="N77" i="1"/>
  <c r="Q50" i="1"/>
  <c r="O29" i="1"/>
  <c r="L68" i="1"/>
  <c r="H49" i="1"/>
  <c r="E63" i="1"/>
  <c r="P56" i="1"/>
  <c r="M52" i="1"/>
  <c r="I46" i="1"/>
  <c r="F42" i="1"/>
  <c r="N23" i="1"/>
  <c r="P33" i="1"/>
  <c r="I98" i="1"/>
  <c r="P26" i="1"/>
  <c r="N16" i="1"/>
  <c r="F12" i="1"/>
  <c r="E10" i="1"/>
  <c r="G19" i="1"/>
  <c r="J4" i="1"/>
  <c r="W2" i="1"/>
  <c r="V2" i="1"/>
  <c r="U2" i="1"/>
  <c r="T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AG3" i="19" l="1"/>
  <c r="AG2" i="19"/>
</calcChain>
</file>

<file path=xl/sharedStrings.xml><?xml version="1.0" encoding="utf-8"?>
<sst xmlns="http://schemas.openxmlformats.org/spreadsheetml/2006/main" count="1053" uniqueCount="596">
  <si>
    <t>ID</t>
  </si>
  <si>
    <t>Name</t>
  </si>
  <si>
    <t>Weight</t>
  </si>
  <si>
    <t>∞</t>
  </si>
  <si>
    <t>Effects</t>
  </si>
  <si>
    <t>Thermal Claymore</t>
  </si>
  <si>
    <t>Compasswood Staff</t>
  </si>
  <si>
    <t>Jade-Lich Staff</t>
  </si>
  <si>
    <t>Rotwood Staff</t>
  </si>
  <si>
    <t>Scholar's Staff</t>
  </si>
  <si>
    <t>Ancient Calygrey Staff (LEGACY)</t>
  </si>
  <si>
    <t>Crystal Staff (LEGACY)</t>
  </si>
  <si>
    <t>Astral Sword</t>
  </si>
  <si>
    <t>Hailfrost Sword</t>
  </si>
  <si>
    <t>Astral Greataxe</t>
  </si>
  <si>
    <t>Grind</t>
  </si>
  <si>
    <t>Hailfrost Greataxe</t>
  </si>
  <si>
    <t>Astral Axe</t>
  </si>
  <si>
    <t>Hailfrost Axe</t>
  </si>
  <si>
    <t>Sandrose</t>
  </si>
  <si>
    <t>Astral Claymore</t>
  </si>
  <si>
    <t>Hailfrost Claymore</t>
  </si>
  <si>
    <t>Astral Bow</t>
  </si>
  <si>
    <t>Astral Knuckles</t>
  </si>
  <si>
    <t>Hailfrost Knuckles</t>
  </si>
  <si>
    <t>Tokebakicit</t>
  </si>
  <si>
    <t>Astral Spear</t>
  </si>
  <si>
    <t>Hailfrost Spear</t>
  </si>
  <si>
    <t>Calygrey Staff</t>
  </si>
  <si>
    <t>Cracked Red Moon</t>
  </si>
  <si>
    <t>Astral Staff</t>
  </si>
  <si>
    <t>Frostburn Staff</t>
  </si>
  <si>
    <t>Revenant Moon</t>
  </si>
  <si>
    <t>Astral Halberd</t>
  </si>
  <si>
    <t>Hailfrost Halberd</t>
  </si>
  <si>
    <t>Astral Greatmace</t>
  </si>
  <si>
    <t>Hailfrost Hammer</t>
  </si>
  <si>
    <t>Astral Mace</t>
  </si>
  <si>
    <t>Hailfrost Mace</t>
  </si>
  <si>
    <t>Scepter of the Cruel Priest</t>
  </si>
  <si>
    <t>Astral Dagger</t>
  </si>
  <si>
    <t>Hailfrost Dagger</t>
  </si>
  <si>
    <t>Astral Pistol</t>
  </si>
  <si>
    <t>The Will O Wisp</t>
  </si>
  <si>
    <t>Astral Shield</t>
  </si>
  <si>
    <t>Adventurer Backpack</t>
  </si>
  <si>
    <t>No dodge interference</t>
  </si>
  <si>
    <t>Alchemist Backpack</t>
  </si>
  <si>
    <t>Brass-Wolf Backpack</t>
  </si>
  <si>
    <t>2 Protection</t>
  </si>
  <si>
    <t>Cannot attach lanterns</t>
  </si>
  <si>
    <t>Glowstone Backpack</t>
  </si>
  <si>
    <t>Acts as a light source</t>
  </si>
  <si>
    <t>Light Mender's Backpack</t>
  </si>
  <si>
    <t>Acts as a faint light source</t>
  </si>
  <si>
    <t>Nomad Backpack</t>
  </si>
  <si>
    <t>Preservation Backpack</t>
  </si>
  <si>
    <t>Primitive Satchel</t>
  </si>
  <si>
    <t>Prospector Backpack</t>
  </si>
  <si>
    <t>Scaled Satchel</t>
  </si>
  <si>
    <t>Strongbox Backpack</t>
  </si>
  <si>
    <t>Trader Backpack</t>
  </si>
  <si>
    <t>Zhorn's Hunting Backpack</t>
  </si>
  <si>
    <t>-10% Stamina Cost</t>
  </si>
  <si>
    <t>Boozu Hide Backpack</t>
  </si>
  <si>
    <t>Brigand's Backpack</t>
  </si>
  <si>
    <t>Chalcedony Backpack</t>
  </si>
  <si>
    <t>Dusk Backpack</t>
  </si>
  <si>
    <t>Weaver's Backpack</t>
  </si>
  <si>
    <t>+20% Status Resistance</t>
  </si>
  <si>
    <t>Free Dodge</t>
  </si>
  <si>
    <t>Capacity</t>
  </si>
  <si>
    <t>Effects 2</t>
  </si>
  <si>
    <t>+15 Hot Weather protection</t>
  </si>
  <si>
    <t>Preservation</t>
  </si>
  <si>
    <t>Inventory Protection</t>
  </si>
  <si>
    <t>10% Corruption Resist</t>
  </si>
  <si>
    <t>+ 15% Physical Damage</t>
  </si>
  <si>
    <t>-10% Movement Speed</t>
  </si>
  <si>
    <t>+5 Barrier</t>
  </si>
  <si>
    <t>+ 10% Lightning Damage</t>
  </si>
  <si>
    <t>Value</t>
  </si>
  <si>
    <t>+10% Stamina Cost</t>
  </si>
  <si>
    <t>Mefino's Trade Backpack (MAKE THIS LEGACY from Trader)</t>
  </si>
  <si>
    <t>0.05 Mana Regen</t>
  </si>
  <si>
    <t>Tag</t>
  </si>
  <si>
    <t>Formuły użyte w pozostałych arkuszach pozwalają odnosić się do tej tabeli i do odpowiednich formuł nawet gdy ta tabela zostaje posortowana.</t>
  </si>
  <si>
    <t>Wykorzystałem do tego funkcje INDEKS oraz PODAJ.POZYCJE</t>
  </si>
  <si>
    <t>Link do strony gdzie jest to fajnie opisane: https://excelness.com/blog/funkcja-indeks-i-podaj-pozycje-udane-polaczenie/</t>
  </si>
  <si>
    <t>Unique 1</t>
  </si>
  <si>
    <t>Unique 2</t>
  </si>
  <si>
    <t>Unique 3</t>
  </si>
  <si>
    <t>unique that is easy to find or craft</t>
  </si>
  <si>
    <t>unique that can be found after Sirocco questline</t>
  </si>
  <si>
    <t>Desert</t>
  </si>
  <si>
    <t>ZAOKR.DO.WIELOKR(</t>
  </si>
  <si>
    <t>)</t>
  </si>
  <si>
    <t>INDEKS(</t>
  </si>
  <si>
    <t>BazoweObrazenia;</t>
  </si>
  <si>
    <t>PODAJ.POZYCJĘ( [@Tag] ; BazoweObrazenia[Tag] ; 0 );</t>
  </si>
  <si>
    <t>PODAJ.POZYCJĘ( "Impact" ; BazoweObrazenia[#Nagłówki] ; 0 )</t>
  </si>
  <si>
    <t>;GeneralValues!$U$15</t>
  </si>
  <si>
    <t>*</t>
  </si>
  <si>
    <t>Modifiers;</t>
  </si>
  <si>
    <t>);</t>
  </si>
  <si>
    <t>PODAJ.POZYCJĘ(</t>
  </si>
  <si>
    <t>FRAGMENT.TEKSTU(KOMÓRKA("nazwa_pliku";$A$1);SZUKAJ.TEKST("]";KOMÓRKA("nazwa_pliku";$A$1))+1;31);</t>
  </si>
  <si>
    <t>Modifiers[Weapon Type];</t>
  </si>
  <si>
    <t>Objaśnienie funkcji użytej w następnych arkuszach do liczenia impactu (podobna jest do liczenia dmg, itp..)</t>
  </si>
  <si>
    <t>&lt;- funkcja zaokraglenia do wielkości</t>
  </si>
  <si>
    <t>PODAJ.POZYCJĘ("Impact";Modifiers[#Nagłówki];0)</t>
  </si>
  <si>
    <t>&lt;- mnożymy przez modifiers</t>
  </si>
  <si>
    <t>&lt;- czyli dana liczba…</t>
  </si>
  <si>
    <t>… z tabeli BazoweObrazenia</t>
  </si>
  <si>
    <t>… podaje nr kolumny, czyli pozycję słowa "Impact" w [Nagłowkach] tabeli BazoweObrazenia</t>
  </si>
  <si>
    <t>… podaje nr wiersza, czyli pozycję odpowiedniego tagu z kolumny [Tag] w tabeli BazoweObrazenia</t>
  </si>
  <si>
    <t>… z tabeli Modifiers</t>
  </si>
  <si>
    <t>… podaje nr wiersza, czyli pozycję…</t>
  </si>
  <si>
    <t xml:space="preserve">…fragmentu tekstu, z dokładnj ścieżki do pliku i do konkretnego arkusza - jest to nazwa arkusza, w którym znajduje się ta funkcja (inna nazwa dla każdego arkusza Swords_1h, Swords_2h, etc.). </t>
  </si>
  <si>
    <t>Więcej o tym w linku: https://malinowyexcel.pl/nazwa-arkusza-wyswietlana-w-komorce-za-pomoca-formuly/</t>
  </si>
  <si>
    <t>… z kolumny [WeaponTypes] w tabeli Modifiers</t>
  </si>
  <si>
    <t>… musi pasować dokładnie</t>
  </si>
  <si>
    <t>… podaje nr kolumny, czyli pozycję słowa "Impact" w [Nagłówkach] tabeli Modifiers</t>
  </si>
  <si>
    <t>&lt;- komórka z wybranym zaokrągleniem w arkuszu GeneralValues</t>
  </si>
  <si>
    <t>Physical Bonus</t>
  </si>
  <si>
    <t>Ethereal Bonus</t>
  </si>
  <si>
    <t>Decay Bonus</t>
  </si>
  <si>
    <t>Lightning Bonus</t>
  </si>
  <si>
    <t>Frost Bonus</t>
  </si>
  <si>
    <t>Fire Bonus</t>
  </si>
  <si>
    <t>Physical Resistance</t>
  </si>
  <si>
    <t>Ethereal Resistance</t>
  </si>
  <si>
    <t>Decay Resistance</t>
  </si>
  <si>
    <t>Lightning Resistance</t>
  </si>
  <si>
    <t>Frost Resistance</t>
  </si>
  <si>
    <t>Fire Resistance</t>
  </si>
  <si>
    <t>MaxDurability</t>
  </si>
  <si>
    <t>RawWeight</t>
  </si>
  <si>
    <t>BaseValue</t>
  </si>
  <si>
    <t>Base values for items, depending in their tag (values should correspond to 1h swords, other weapon types have these values changed by modifiers from the Modifiers table)</t>
  </si>
  <si>
    <t>Assumption: weight is in lbs (mostly because of Total Weight mechanics)</t>
  </si>
  <si>
    <t>2 Protection, -10% Movement Speed</t>
  </si>
  <si>
    <t>Overhead Lantern Slot, +10% Stamina Cost</t>
  </si>
  <si>
    <t>Rounding stats after calculations to:</t>
  </si>
  <si>
    <t>unique that is not so easy to find</t>
  </si>
  <si>
    <t>Well, the below is in Polish, but you don't really need it</t>
  </si>
  <si>
    <t>Adventurer Armor</t>
  </si>
  <si>
    <t>Ammolite Armor</t>
  </si>
  <si>
    <t>15% Physical</t>
  </si>
  <si>
    <t>10% Physical</t>
  </si>
  <si>
    <t>Antique Plate Garb</t>
  </si>
  <si>
    <t>10% Ethereal</t>
  </si>
  <si>
    <t>Arcane Robe</t>
  </si>
  <si>
    <t>20% Decay</t>
  </si>
  <si>
    <t>10% Frost</t>
  </si>
  <si>
    <t>Ash Armor</t>
  </si>
  <si>
    <t>Barrier Armor</t>
  </si>
  <si>
    <t>Beige Garb</t>
  </si>
  <si>
    <t>Black Dancer Clothes</t>
  </si>
  <si>
    <t>Black Fur Armor</t>
  </si>
  <si>
    <t>Black Plate Armor</t>
  </si>
  <si>
    <t>Blue Light Clothes</t>
  </si>
  <si>
    <t>Blue Sand Armor</t>
  </si>
  <si>
    <t>Brigand Coat</t>
  </si>
  <si>
    <t>Bright Nobleman Attire</t>
  </si>
  <si>
    <t>Bright Rich Attire</t>
  </si>
  <si>
    <t>Caged Armor Chestplate</t>
  </si>
  <si>
    <t>10% Decay</t>
  </si>
  <si>
    <t>Caldera Mail Armor</t>
  </si>
  <si>
    <t>14% Lightning</t>
  </si>
  <si>
    <t>Prevents Pain and Confusion by 50%</t>
  </si>
  <si>
    <t>Candle Plate Armor</t>
  </si>
  <si>
    <t>Chalcedony Armor</t>
  </si>
  <si>
    <t>Chitin Desert Tunic</t>
  </si>
  <si>
    <t>Clansage Robe</t>
  </si>
  <si>
    <t>Copal Armor</t>
  </si>
  <si>
    <t>Crimson Dancer Clothes</t>
  </si>
  <si>
    <t>Crimson Plate Armor</t>
  </si>
  <si>
    <t>21% Frost</t>
  </si>
  <si>
    <t>Dark Green Garb</t>
  </si>
  <si>
    <t>Dark Nobleman Attire</t>
  </si>
  <si>
    <t>Dark Red Garb</t>
  </si>
  <si>
    <t>Dark Rich Attire</t>
  </si>
  <si>
    <t>Dark Worker Attire</t>
  </si>
  <si>
    <t>Desert Tunic</t>
  </si>
  <si>
    <t>Elite Desert Tunic</t>
  </si>
  <si>
    <t>Elite Plate Armor</t>
  </si>
  <si>
    <t>Entomber Armor</t>
  </si>
  <si>
    <t>Fur Armor</t>
  </si>
  <si>
    <t>12% Physical</t>
  </si>
  <si>
    <t>Gold-Lich Armor</t>
  </si>
  <si>
    <t>9% Physical</t>
  </si>
  <si>
    <t>Gray Garb</t>
  </si>
  <si>
    <t>Green Copal Armor</t>
  </si>
  <si>
    <t>Green Garb</t>
  </si>
  <si>
    <t>Green Worker Attire</t>
  </si>
  <si>
    <t>Halfplate Armor</t>
  </si>
  <si>
    <t>Horror Armor</t>
  </si>
  <si>
    <t>Jade Acolyte Robes</t>
  </si>
  <si>
    <t>Jade-Lich Robes</t>
  </si>
  <si>
    <t>10% Fire</t>
  </si>
  <si>
    <t>Kazite Armor</t>
  </si>
  <si>
    <t>Kazite Light Armor</t>
  </si>
  <si>
    <t>Kintsugi Armor</t>
  </si>
  <si>
    <t>Krypteia Armor</t>
  </si>
  <si>
    <t>25% Physical</t>
  </si>
  <si>
    <t>Prevents Mild Petrification and Holy Blaze</t>
  </si>
  <si>
    <t>Light Kazite Shirt</t>
  </si>
  <si>
    <t>Looter Armor</t>
  </si>
  <si>
    <t>Makeshift Leather Attire</t>
  </si>
  <si>
    <t>7% Physical</t>
  </si>
  <si>
    <t>Manawall Armor</t>
  </si>
  <si>
    <t>Master Desert Tunic</t>
  </si>
  <si>
    <t>Master Kazite Armor</t>
  </si>
  <si>
    <t>Master Trader Garb</t>
  </si>
  <si>
    <t>Merton's Ribcage</t>
  </si>
  <si>
    <t>Militia Armor</t>
  </si>
  <si>
    <t>Prevents Burning</t>
  </si>
  <si>
    <t>Miner Armor</t>
  </si>
  <si>
    <t>Noble Clothes</t>
  </si>
  <si>
    <t>Novice Robe</t>
  </si>
  <si>
    <t>Orichalcum Armor</t>
  </si>
  <si>
    <t>Padded Armor</t>
  </si>
  <si>
    <t>Pale Light Clothes</t>
  </si>
  <si>
    <t>Palladium Armor</t>
  </si>
  <si>
    <t>Pathfinder Armor</t>
  </si>
  <si>
    <t>Patterned Worker Attire</t>
  </si>
  <si>
    <t>Pearlescent Mail</t>
  </si>
  <si>
    <t>Petrified Wood Armor</t>
  </si>
  <si>
    <t>Pilgrim Armor</t>
  </si>
  <si>
    <t>Plate Armor</t>
  </si>
  <si>
    <t>Purple Dancer Clothes</t>
  </si>
  <si>
    <t>Purple Festive Attire</t>
  </si>
  <si>
    <t>5% Physical</t>
  </si>
  <si>
    <t>Red Clansage Robe</t>
  </si>
  <si>
    <t>5% Fire</t>
  </si>
  <si>
    <t>Red Festive Attire</t>
  </si>
  <si>
    <t>Red Light Clothes</t>
  </si>
  <si>
    <t>Runic Armor</t>
  </si>
  <si>
    <t>Scaled Leather Attire</t>
  </si>
  <si>
    <t>Scarlet Robes</t>
  </si>
  <si>
    <t>-15% Status Resistance</t>
  </si>
  <si>
    <t>Scavenger Coat</t>
  </si>
  <si>
    <t>Scholar Attire</t>
  </si>
  <si>
    <t>Shock Armor</t>
  </si>
  <si>
    <t>10% Impact bonus</t>
  </si>
  <si>
    <t>Silver Armor</t>
  </si>
  <si>
    <t>Slayer's Armor</t>
  </si>
  <si>
    <t>20% Status Resistance</t>
  </si>
  <si>
    <t>Squire Attire</t>
  </si>
  <si>
    <t>Striped Garb</t>
  </si>
  <si>
    <t>Tattered Attire</t>
  </si>
  <si>
    <t>Tenebrous Armor</t>
  </si>
  <si>
    <t>Trader Garb</t>
  </si>
  <si>
    <t>Tsar Armor</t>
  </si>
  <si>
    <t>Vigilante Armor</t>
  </si>
  <si>
    <t>Virgin Armor</t>
  </si>
  <si>
    <t>White Arcane Robe</t>
  </si>
  <si>
    <t>White Kintsugi Armor</t>
  </si>
  <si>
    <t>White Priest Robes</t>
  </si>
  <si>
    <t>Wolf Mage Armor</t>
  </si>
  <si>
    <t>5% Ethereal</t>
  </si>
  <si>
    <t>Wolf Medic Armor</t>
  </si>
  <si>
    <t>Wolf Plate Armor</t>
  </si>
  <si>
    <t>Zagis' Armor</t>
  </si>
  <si>
    <t>Rust Lich Armor </t>
  </si>
  <si>
    <t>Shadow Kazite Light Armor </t>
  </si>
  <si>
    <t>Shadow Light Kazite Shirt </t>
  </si>
  <si>
    <t>7% Lightning</t>
  </si>
  <si>
    <t>Adventurer's Helm</t>
  </si>
  <si>
    <t>Ammolite Helm</t>
  </si>
  <si>
    <t>Antique Plate Sallet</t>
  </si>
  <si>
    <t>Arcane Hood</t>
  </si>
  <si>
    <t>Ash-Filter Mask</t>
  </si>
  <si>
    <t>Barrier Helm</t>
  </si>
  <si>
    <t>Black Fur Helmet</t>
  </si>
  <si>
    <t>Black Pearlbird Mask</t>
  </si>
  <si>
    <t>Black Plate Helm</t>
  </si>
  <si>
    <t>Blue Sand Helm</t>
  </si>
  <si>
    <t>Brigand's Hat</t>
  </si>
  <si>
    <t>Bright Nobleman Hat</t>
  </si>
  <si>
    <t>Bright Rich Hat</t>
  </si>
  <si>
    <t>Caged Armor Helm</t>
  </si>
  <si>
    <t>Caldera Mail Helm</t>
  </si>
  <si>
    <t>Prevents Pain and Confusion by 25%</t>
  </si>
  <si>
    <t>Candle Plate Helm</t>
  </si>
  <si>
    <t>Cauldron Helm</t>
  </si>
  <si>
    <t>Chalcedony Helmet</t>
  </si>
  <si>
    <t>Copal Helm</t>
  </si>
  <si>
    <t>Coralhorn Mask</t>
  </si>
  <si>
    <t>Crimson Plate Mask</t>
  </si>
  <si>
    <t>11% Frost</t>
  </si>
  <si>
    <t>Dancer Mask</t>
  </si>
  <si>
    <t>Dark Nobleman Hat</t>
  </si>
  <si>
    <t>Dark Rich Hat</t>
  </si>
  <si>
    <t>Dark Worker Hood</t>
  </si>
  <si>
    <t>Desert Veil</t>
  </si>
  <si>
    <t>Elite Desert Veil</t>
  </si>
  <si>
    <t>Elite Hood</t>
  </si>
  <si>
    <t>Elite Plate Helm</t>
  </si>
  <si>
    <t>Entomber Hat</t>
  </si>
  <si>
    <t>Ergagr'Uk!</t>
  </si>
  <si>
    <t>50% Ethereal</t>
  </si>
  <si>
    <t>+0.1 Mana Mana restored per second</t>
  </si>
  <si>
    <t>Fur Helm</t>
  </si>
  <si>
    <t>Gar'Ga'Nak</t>
  </si>
  <si>
    <t>Gargargar!</t>
  </si>
  <si>
    <t>60% Physical</t>
  </si>
  <si>
    <t>25% Impact bonus</t>
  </si>
  <si>
    <t>Go'gO</t>
  </si>
  <si>
    <t>Gold-Lich Mask</t>
  </si>
  <si>
    <t>GorkKrog!</t>
  </si>
  <si>
    <t>GoulgGalog!</t>
  </si>
  <si>
    <t>100% Decay</t>
  </si>
  <si>
    <t>Green Copal Helmet</t>
  </si>
  <si>
    <t>Halfplate Helm</t>
  </si>
  <si>
    <t>Horror Helm</t>
  </si>
  <si>
    <t>Hound Mask</t>
  </si>
  <si>
    <t>Jade Acolyte Cowl</t>
  </si>
  <si>
    <t>Jade-Lich Mask</t>
  </si>
  <si>
    <t>Jewel Bird Mask</t>
  </si>
  <si>
    <t>Kazite Cat Mask</t>
  </si>
  <si>
    <t>Kazite Light Helmet</t>
  </si>
  <si>
    <t>Kazite Mask</t>
  </si>
  <si>
    <t>Kazite Oni Mask</t>
  </si>
  <si>
    <t>Kintsugi Helm</t>
  </si>
  <si>
    <t>Krypteia Mask</t>
  </si>
  <si>
    <t>Prevents Plague</t>
  </si>
  <si>
    <t>Looter Mask</t>
  </si>
  <si>
    <t>Makeshift Leather Hat</t>
  </si>
  <si>
    <t>Manawall Helm</t>
  </si>
  <si>
    <t>Master Desert Veil</t>
  </si>
  <si>
    <t>Master Kazite Cat Mask</t>
  </si>
  <si>
    <t>Master Kazite Mask</t>
  </si>
  <si>
    <t>Master Kazite Oni Mask</t>
  </si>
  <si>
    <t>Master Trader Hat</t>
  </si>
  <si>
    <t>Merton's Skull</t>
  </si>
  <si>
    <t>Militia Helm</t>
  </si>
  <si>
    <t>Prevents Confusion</t>
  </si>
  <si>
    <t>Miner Helmet</t>
  </si>
  <si>
    <t>Noble Mask</t>
  </si>
  <si>
    <t>Novice Hat</t>
  </si>
  <si>
    <t>Orichalcum Helmet</t>
  </si>
  <si>
    <t>Padded Helm</t>
  </si>
  <si>
    <t>Pale Worker's Hood</t>
  </si>
  <si>
    <t>Palladium Helm</t>
  </si>
  <si>
    <t>Pathfinder Mask</t>
  </si>
  <si>
    <t>Patterned Worker Hood</t>
  </si>
  <si>
    <t>Pearlbird Mask</t>
  </si>
  <si>
    <t>Petrified Wood Helm</t>
  </si>
  <si>
    <t>Pilgrim Helmet</t>
  </si>
  <si>
    <t>Plate Helm</t>
  </si>
  <si>
    <t>Purple Festive Hat</t>
  </si>
  <si>
    <t>Red Festive Hat</t>
  </si>
  <si>
    <t>Red Wide Hat</t>
  </si>
  <si>
    <t>Runic Helm</t>
  </si>
  <si>
    <t>Rust Lich Helmet</t>
  </si>
  <si>
    <t>Scaled Leather Hat</t>
  </si>
  <si>
    <t>Scarab Mask</t>
  </si>
  <si>
    <t>Scarlet Mask</t>
  </si>
  <si>
    <t>-10% Status Resistance</t>
  </si>
  <si>
    <t>Scavenger Hood</t>
  </si>
  <si>
    <t>Scavenger Mask</t>
  </si>
  <si>
    <t>Scavenger Scarf</t>
  </si>
  <si>
    <t>Scholar Circlet</t>
  </si>
  <si>
    <t>Shadow Kazite Light Helmet</t>
  </si>
  <si>
    <t>Shock Helmet</t>
  </si>
  <si>
    <t>Silver Helm</t>
  </si>
  <si>
    <t>Slayer's Helmet</t>
  </si>
  <si>
    <t>15% Status Resistance</t>
  </si>
  <si>
    <t>Squire Headband</t>
  </si>
  <si>
    <t>Straw Hat</t>
  </si>
  <si>
    <t>Tattered Hood</t>
  </si>
  <si>
    <t>Tenebrous Helm</t>
  </si>
  <si>
    <t>Tsar Helm</t>
  </si>
  <si>
    <t>Tuanosaur Mask</t>
  </si>
  <si>
    <t>Vigilante Helm</t>
  </si>
  <si>
    <t>Virgin Helmet</t>
  </si>
  <si>
    <t>White Arcane Hood</t>
  </si>
  <si>
    <t>White Kintsugi Helmet</t>
  </si>
  <si>
    <t>White Priest Hood</t>
  </si>
  <si>
    <t>White Priest Mitre</t>
  </si>
  <si>
    <t>White Wide Hat</t>
  </si>
  <si>
    <t>Wide Black Hat</t>
  </si>
  <si>
    <t>Wide Blue Hat</t>
  </si>
  <si>
    <t>Wolf Mage Helmet</t>
  </si>
  <si>
    <t>Wolf Medic Helmet</t>
  </si>
  <si>
    <t>Recover +0.05 Health Health per second</t>
  </si>
  <si>
    <t>Wolf Plate Full-Helm</t>
  </si>
  <si>
    <t>Wolf Plate Helm</t>
  </si>
  <si>
    <t>Zagis' Mask</t>
  </si>
  <si>
    <t>Adventurer Boots</t>
  </si>
  <si>
    <t>Ammolite Boots</t>
  </si>
  <si>
    <t>Antique Plate Boots</t>
  </si>
  <si>
    <t>Ash Boots</t>
  </si>
  <si>
    <t>Barrier Boots</t>
  </si>
  <si>
    <t>Black Fur Boots</t>
  </si>
  <si>
    <t>Black Plate Boots</t>
  </si>
  <si>
    <t>Black Worker Boots</t>
  </si>
  <si>
    <t>Blue Sand Boots</t>
  </si>
  <si>
    <t>Bright Nobleman Boots</t>
  </si>
  <si>
    <t>Caged Armor Boots</t>
  </si>
  <si>
    <t>Caldera Mail Boots</t>
  </si>
  <si>
    <t>Candle Plate Boots</t>
  </si>
  <si>
    <t>Chalcedony Boots</t>
  </si>
  <si>
    <t>Copal Boots</t>
  </si>
  <si>
    <t>Crimson Plate Boots</t>
  </si>
  <si>
    <t>Dancer Leggings</t>
  </si>
  <si>
    <t>Dark Nobleman Boots</t>
  </si>
  <si>
    <t>Desert Boots</t>
  </si>
  <si>
    <t>Elite Plate Boots</t>
  </si>
  <si>
    <t>Entomber Boots</t>
  </si>
  <si>
    <t>Fur Boots</t>
  </si>
  <si>
    <t>Gold-Lich Boots</t>
  </si>
  <si>
    <t>Green Copal Boots</t>
  </si>
  <si>
    <t>Halfplate Boots</t>
  </si>
  <si>
    <t>Horror Greaves</t>
  </si>
  <si>
    <t>Jade Acolyte Boots</t>
  </si>
  <si>
    <t>Jade-Lich Boots</t>
  </si>
  <si>
    <t>Kazite Boots</t>
  </si>
  <si>
    <t>Kazite Light Boots</t>
  </si>
  <si>
    <t>Kintsugi Boots</t>
  </si>
  <si>
    <t>Krypteia Boots</t>
  </si>
  <si>
    <t>Prevents Blaze</t>
  </si>
  <si>
    <t>Makeshift Leather Boots</t>
  </si>
  <si>
    <t>Manawall Boots</t>
  </si>
  <si>
    <t>Master Desert Boots</t>
  </si>
  <si>
    <t>Master Kazite Boots</t>
  </si>
  <si>
    <t>Master Trader Boots</t>
  </si>
  <si>
    <t>Merton's Shinbones</t>
  </si>
  <si>
    <t>Militia Boots</t>
  </si>
  <si>
    <t>Prevents Hampered</t>
  </si>
  <si>
    <t>Miner Boots</t>
  </si>
  <si>
    <t>Prevents Hampered.</t>
  </si>
  <si>
    <t>Noble Shoes</t>
  </si>
  <si>
    <t>Orichalcum Boots</t>
  </si>
  <si>
    <t>Padded Boots</t>
  </si>
  <si>
    <t>Palladium Boots</t>
  </si>
  <si>
    <t>Pathfinder Boots</t>
  </si>
  <si>
    <t>Petrified Wood Boots</t>
  </si>
  <si>
    <t>Pilgrim Boots</t>
  </si>
  <si>
    <t>Plate Boots</t>
  </si>
  <si>
    <t>Runic Boots</t>
  </si>
  <si>
    <t>Rust Lich Boots</t>
  </si>
  <si>
    <t>Sandals</t>
  </si>
  <si>
    <t>Scaled Leather Boots</t>
  </si>
  <si>
    <t>Scarlet Boots</t>
  </si>
  <si>
    <t>Scavenger Boots</t>
  </si>
  <si>
    <t>Scholar Boots</t>
  </si>
  <si>
    <t>Shadow Kazite Light Boots</t>
  </si>
  <si>
    <t>Shock Boots</t>
  </si>
  <si>
    <t>Silver Boots</t>
  </si>
  <si>
    <t>Simple Shoes</t>
  </si>
  <si>
    <t>Slayer's Boots</t>
  </si>
  <si>
    <t>Squire Boots</t>
  </si>
  <si>
    <t>Tattered Boots</t>
  </si>
  <si>
    <t>Tenebrous Boots</t>
  </si>
  <si>
    <t>Trader Boots</t>
  </si>
  <si>
    <t>Tsar Boots</t>
  </si>
  <si>
    <t>Vigilante Boots</t>
  </si>
  <si>
    <t>Virgin Boots</t>
  </si>
  <si>
    <t>White Kintsugi Boots</t>
  </si>
  <si>
    <t>White Priest Boots</t>
  </si>
  <si>
    <t>Wolf Mage Boots</t>
  </si>
  <si>
    <t>Wolf Medic Boots</t>
  </si>
  <si>
    <t>Wolf Plate Boots</t>
  </si>
  <si>
    <t>Worker Boots</t>
  </si>
  <si>
    <t>Zagis' Boots</t>
  </si>
  <si>
    <t>DMG Bonus</t>
  </si>
  <si>
    <t>PouchBonus</t>
  </si>
  <si>
    <t>EffectsValue</t>
  </si>
  <si>
    <t>+0.1 Health recovery</t>
  </si>
  <si>
    <t>Raw Resistance</t>
  </si>
  <si>
    <t>10% Ethereal
5% Decay</t>
  </si>
  <si>
    <r>
      <t xml:space="preserve">15% Decay
</t>
    </r>
    <r>
      <rPr>
        <sz val="11"/>
        <color rgb="FFC00000"/>
        <rFont val="Calibri"/>
        <family val="2"/>
        <charset val="238"/>
        <scheme val="minor"/>
      </rPr>
      <t>10% Fire</t>
    </r>
  </si>
  <si>
    <r>
      <t xml:space="preserve">5% Lightning
</t>
    </r>
    <r>
      <rPr>
        <sz val="11"/>
        <color rgb="FFC00000"/>
        <rFont val="Calibri"/>
        <family val="2"/>
        <charset val="238"/>
        <scheme val="minor"/>
      </rPr>
      <t>5% Fire</t>
    </r>
  </si>
  <si>
    <r>
      <t xml:space="preserve">5% Decay
</t>
    </r>
    <r>
      <rPr>
        <sz val="11"/>
        <color rgb="FF0070C0"/>
        <rFont val="Calibri"/>
        <family val="2"/>
        <charset val="238"/>
        <scheme val="minor"/>
      </rPr>
      <t>5% Frost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C00000"/>
        <rFont val="Calibri"/>
        <family val="2"/>
        <charset val="238"/>
        <scheme val="minor"/>
      </rPr>
      <t>5% Fire</t>
    </r>
  </si>
  <si>
    <r>
      <t xml:space="preserve">15% Decay
</t>
    </r>
    <r>
      <rPr>
        <sz val="11"/>
        <color rgb="FF0070C0"/>
        <rFont val="Calibri"/>
        <family val="2"/>
        <charset val="238"/>
        <scheme val="minor"/>
      </rPr>
      <t>15% Frost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C00000"/>
        <rFont val="Calibri"/>
        <family val="2"/>
        <charset val="238"/>
        <scheme val="minor"/>
      </rPr>
      <t>15% Fire</t>
    </r>
  </si>
  <si>
    <r>
      <t xml:space="preserve">10% Ethereal
</t>
    </r>
    <r>
      <rPr>
        <sz val="11"/>
        <color theme="9" tint="-0.499984740745262"/>
        <rFont val="Calibri"/>
        <family val="2"/>
        <charset val="238"/>
        <scheme val="minor"/>
      </rPr>
      <t>10% Lightning</t>
    </r>
  </si>
  <si>
    <r>
      <rPr>
        <sz val="11"/>
        <color theme="2" tint="-0.749992370372631"/>
        <rFont val="Calibri"/>
        <family val="2"/>
        <charset val="238"/>
        <scheme val="minor"/>
      </rPr>
      <t>-30% Physical</t>
    </r>
    <r>
      <rPr>
        <sz val="11"/>
        <color theme="1"/>
        <rFont val="Calibri"/>
        <family val="2"/>
        <charset val="238"/>
        <scheme val="minor"/>
      </rPr>
      <t xml:space="preserve">
</t>
    </r>
    <r>
      <rPr>
        <sz val="11"/>
        <color rgb="FFC00000"/>
        <rFont val="Calibri"/>
        <family val="2"/>
        <charset val="238"/>
        <scheme val="minor"/>
      </rPr>
      <t>25% Fire</t>
    </r>
    <r>
      <rPr>
        <sz val="11"/>
        <color theme="1"/>
        <rFont val="Calibri"/>
        <family val="2"/>
        <charset val="238"/>
        <scheme val="minor"/>
      </rPr>
      <t xml:space="preserve">
</t>
    </r>
    <r>
      <rPr>
        <sz val="11"/>
        <color theme="6" tint="-0.499984740745262"/>
        <rFont val="Calibri"/>
        <family val="2"/>
        <charset val="238"/>
        <scheme val="minor"/>
      </rPr>
      <t>25% Decay</t>
    </r>
  </si>
  <si>
    <r>
      <t xml:space="preserve">5% Ethereal
</t>
    </r>
    <r>
      <rPr>
        <sz val="11"/>
        <color rgb="FFC00000"/>
        <rFont val="Calibri"/>
        <family val="2"/>
        <charset val="238"/>
        <scheme val="minor"/>
      </rPr>
      <t>10% Fire</t>
    </r>
  </si>
  <si>
    <r>
      <t xml:space="preserve">15% Lightning
</t>
    </r>
    <r>
      <rPr>
        <sz val="11"/>
        <color rgb="FFC00000"/>
        <rFont val="Calibri"/>
        <family val="2"/>
        <charset val="238"/>
        <scheme val="minor"/>
      </rPr>
      <t>15% Fire</t>
    </r>
  </si>
  <si>
    <r>
      <t xml:space="preserve">10% Lightning
</t>
    </r>
    <r>
      <rPr>
        <sz val="11"/>
        <color rgb="FFC00000"/>
        <rFont val="Calibri"/>
        <family val="2"/>
        <charset val="238"/>
        <scheme val="minor"/>
      </rPr>
      <t>10% Fire</t>
    </r>
  </si>
  <si>
    <r>
      <t xml:space="preserve">15% Ethereal
</t>
    </r>
    <r>
      <rPr>
        <sz val="11"/>
        <color rgb="FFC00000"/>
        <rFont val="Calibri"/>
        <family val="2"/>
        <charset val="238"/>
        <scheme val="minor"/>
      </rPr>
      <t>15% Fire</t>
    </r>
  </si>
  <si>
    <r>
      <t xml:space="preserve">35% Lightning
</t>
    </r>
    <r>
      <rPr>
        <sz val="11"/>
        <color rgb="FF0070C0"/>
        <rFont val="Calibri"/>
        <family val="2"/>
        <charset val="238"/>
        <scheme val="minor"/>
      </rPr>
      <t>35% Frost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C00000"/>
        <rFont val="Calibri"/>
        <family val="2"/>
        <charset val="238"/>
        <scheme val="minor"/>
      </rPr>
      <t>35% Fire</t>
    </r>
  </si>
  <si>
    <r>
      <t xml:space="preserve">8% Lightning
</t>
    </r>
    <r>
      <rPr>
        <sz val="11"/>
        <color rgb="FF0070C0"/>
        <rFont val="Calibri"/>
        <family val="2"/>
        <charset val="238"/>
        <scheme val="minor"/>
      </rPr>
      <t>8% Frost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C00000"/>
        <rFont val="Calibri"/>
        <family val="2"/>
        <charset val="238"/>
        <scheme val="minor"/>
      </rPr>
      <t>8% Fire</t>
    </r>
  </si>
  <si>
    <r>
      <t xml:space="preserve">-30% Physical
</t>
    </r>
    <r>
      <rPr>
        <sz val="11"/>
        <color rgb="FF0070C0"/>
        <rFont val="Calibri"/>
        <family val="2"/>
        <charset val="238"/>
        <scheme val="minor"/>
      </rPr>
      <t>25% Frost</t>
    </r>
  </si>
  <si>
    <r>
      <t xml:space="preserve">5% Ethereal
</t>
    </r>
    <r>
      <rPr>
        <sz val="11"/>
        <color theme="6" tint="-0.499984740745262"/>
        <rFont val="Calibri"/>
        <family val="2"/>
        <charset val="238"/>
        <scheme val="minor"/>
      </rPr>
      <t>10% Decay</t>
    </r>
  </si>
  <si>
    <r>
      <t xml:space="preserve">10% Decay
</t>
    </r>
    <r>
      <rPr>
        <sz val="11"/>
        <color rgb="FF0070C0"/>
        <rFont val="Calibri"/>
        <family val="2"/>
        <charset val="238"/>
        <scheme val="minor"/>
      </rPr>
      <t>10% Frost</t>
    </r>
  </si>
  <si>
    <r>
      <t xml:space="preserve">-30% Physical
</t>
    </r>
    <r>
      <rPr>
        <sz val="11"/>
        <color theme="9" tint="-0.499984740745262"/>
        <rFont val="Calibri"/>
        <family val="2"/>
        <charset val="238"/>
        <scheme val="minor"/>
      </rPr>
      <t>25% Lightning</t>
    </r>
  </si>
  <si>
    <r>
      <t xml:space="preserve">5% Ethereal
</t>
    </r>
    <r>
      <rPr>
        <sz val="11"/>
        <color theme="9" tint="-0.499984740745262"/>
        <rFont val="Calibri"/>
        <family val="2"/>
        <charset val="238"/>
        <scheme val="minor"/>
      </rPr>
      <t>5% Lightning</t>
    </r>
  </si>
  <si>
    <t xml:space="preserve">Adventurer </t>
  </si>
  <si>
    <t xml:space="preserve">Ammolite </t>
  </si>
  <si>
    <t xml:space="preserve">Ash </t>
  </si>
  <si>
    <t xml:space="preserve">Barrier </t>
  </si>
  <si>
    <t xml:space="preserve">Black Fur </t>
  </si>
  <si>
    <t xml:space="preserve">Black Plate </t>
  </si>
  <si>
    <t xml:space="preserve">Blue Sand </t>
  </si>
  <si>
    <t xml:space="preserve">Caldera Mail </t>
  </si>
  <si>
    <t xml:space="preserve">Candle Plate </t>
  </si>
  <si>
    <t xml:space="preserve">Chalcedony </t>
  </si>
  <si>
    <t xml:space="preserve">Copal </t>
  </si>
  <si>
    <t xml:space="preserve">Crimson Plate </t>
  </si>
  <si>
    <t xml:space="preserve">Elite Plate </t>
  </si>
  <si>
    <t xml:space="preserve">Entomber </t>
  </si>
  <si>
    <t xml:space="preserve">Fur </t>
  </si>
  <si>
    <t xml:space="preserve">Gold-Lich </t>
  </si>
  <si>
    <t xml:space="preserve">Green Copal </t>
  </si>
  <si>
    <t xml:space="preserve">Halfplate </t>
  </si>
  <si>
    <t xml:space="preserve">Horror </t>
  </si>
  <si>
    <t xml:space="preserve">Kazite </t>
  </si>
  <si>
    <t xml:space="preserve">Kazite Light </t>
  </si>
  <si>
    <t xml:space="preserve">Kintsugi </t>
  </si>
  <si>
    <t xml:space="preserve">Krypteia </t>
  </si>
  <si>
    <t xml:space="preserve">Looter </t>
  </si>
  <si>
    <t xml:space="preserve">Manawall </t>
  </si>
  <si>
    <t xml:space="preserve">Master Kazite </t>
  </si>
  <si>
    <t xml:space="preserve">Militia </t>
  </si>
  <si>
    <t xml:space="preserve">Miner </t>
  </si>
  <si>
    <t xml:space="preserve">Orichalcum </t>
  </si>
  <si>
    <t xml:space="preserve">Padded </t>
  </si>
  <si>
    <t xml:space="preserve">Palladium </t>
  </si>
  <si>
    <t xml:space="preserve">Pathfinder </t>
  </si>
  <si>
    <t xml:space="preserve">Petrified Wood </t>
  </si>
  <si>
    <t xml:space="preserve">Pilgrim </t>
  </si>
  <si>
    <t xml:space="preserve">Plate </t>
  </si>
  <si>
    <t xml:space="preserve">Runic </t>
  </si>
  <si>
    <t>Rust Lich  </t>
  </si>
  <si>
    <t>Shadow Kazite Light  </t>
  </si>
  <si>
    <t xml:space="preserve">Shock </t>
  </si>
  <si>
    <t xml:space="preserve">Silver </t>
  </si>
  <si>
    <t xml:space="preserve">Slayer's </t>
  </si>
  <si>
    <t xml:space="preserve">Tenebrous </t>
  </si>
  <si>
    <t xml:space="preserve">Tsar </t>
  </si>
  <si>
    <t xml:space="preserve">Vigilante </t>
  </si>
  <si>
    <t xml:space="preserve">Virgin </t>
  </si>
  <si>
    <t xml:space="preserve">Wolf Mage </t>
  </si>
  <si>
    <t xml:space="preserve">Wolf Medic </t>
  </si>
  <si>
    <t xml:space="preserve">Wolf Plate </t>
  </si>
  <si>
    <t xml:space="preserve">Zagis' </t>
  </si>
  <si>
    <t xml:space="preserve">Antique Plate </t>
  </si>
  <si>
    <t xml:space="preserve">Master Trader </t>
  </si>
  <si>
    <t xml:space="preserve">Trader </t>
  </si>
  <si>
    <t>Caged  Armor</t>
  </si>
  <si>
    <t>Dancer</t>
  </si>
  <si>
    <t>Arcane</t>
  </si>
  <si>
    <t xml:space="preserve">Jade Acolyte </t>
  </si>
  <si>
    <t xml:space="preserve">Jade-Lich </t>
  </si>
  <si>
    <t>Light Clothes</t>
  </si>
  <si>
    <t>Makeshift Leather</t>
  </si>
  <si>
    <t>Master Desert</t>
  </si>
  <si>
    <t>Merton's Bones</t>
  </si>
  <si>
    <t>Nobleman</t>
  </si>
  <si>
    <t>Festive</t>
  </si>
  <si>
    <t>Rich</t>
  </si>
  <si>
    <t xml:space="preserve">Scarlet </t>
  </si>
  <si>
    <t xml:space="preserve">White Priest </t>
  </si>
  <si>
    <t xml:space="preserve">Scaled Leather </t>
  </si>
  <si>
    <t xml:space="preserve">Scholar </t>
  </si>
  <si>
    <t xml:space="preserve">Squire </t>
  </si>
  <si>
    <t xml:space="preserve">Tattered </t>
  </si>
  <si>
    <t>Scavenger</t>
  </si>
  <si>
    <t>White Arcane</t>
  </si>
  <si>
    <t>White Kintsugi</t>
  </si>
  <si>
    <t>Worker</t>
  </si>
  <si>
    <t>Coloured Garb</t>
  </si>
  <si>
    <t>Elite Desert</t>
  </si>
  <si>
    <t>Simple</t>
  </si>
  <si>
    <t>Black Pearlbird</t>
  </si>
  <si>
    <t>Cauldron</t>
  </si>
  <si>
    <t>Coralhorn</t>
  </si>
  <si>
    <t>Hound</t>
  </si>
  <si>
    <t>Jewel Bird</t>
  </si>
  <si>
    <t>Pearlbird</t>
  </si>
  <si>
    <t>Scarab</t>
  </si>
  <si>
    <t>Tuanosaur</t>
  </si>
  <si>
    <t>Ergagr'Uk</t>
  </si>
  <si>
    <t>Armour Type</t>
  </si>
  <si>
    <t>Body</t>
  </si>
  <si>
    <t>Helmets</t>
  </si>
  <si>
    <t>Boots</t>
  </si>
  <si>
    <t>Resistance</t>
  </si>
  <si>
    <t>Worksheet Name - use next cell in formula calculations for simple formulas:</t>
  </si>
  <si>
    <t>Novice</t>
  </si>
  <si>
    <t>Clansage</t>
  </si>
  <si>
    <t>Impact_Resistance</t>
  </si>
  <si>
    <t>Damage_Protection</t>
  </si>
  <si>
    <t>Stamina_Use_Penalty</t>
  </si>
  <si>
    <t>Mana_Use_Modifier</t>
  </si>
  <si>
    <t>Movement_Penalty</t>
  </si>
  <si>
    <t>Corruption_Protection</t>
  </si>
  <si>
    <t>Cooldown_Reduction</t>
  </si>
  <si>
    <t>Pouch_Bonus</t>
  </si>
  <si>
    <t>Heat_Protection</t>
  </si>
  <si>
    <t>Cold_Protection</t>
  </si>
  <si>
    <t>BarrierProtection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</si>
</sst>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3"/>
      <color rgb="FF572D2D"/>
      <name val="Courier New"/>
      <family val="3"/>
      <charset val="238"/>
    </font>
    <font>
      <sz val="11"/>
      <color rgb="FF9C650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9" tint="-0.499984740745262"/>
      <name val="Calibri"/>
      <family val="2"/>
      <charset val="238"/>
      <scheme val="minor"/>
    </font>
    <font>
      <sz val="11"/>
      <color theme="6" tint="-0.499984740745262"/>
      <name val="Calibri"/>
      <family val="2"/>
      <charset val="238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2" fillId="8" borderId="0" applyNumberFormat="0" applyBorder="0" applyAlignment="0" applyProtection="0"/>
  </cellStyleXfs>
  <cellXfs count="106">
    <xf numFmtId="0" fontId="0" fillId="0" borderId="0" xfId="0"/>
    <xf numFmtId="0" fontId="0" fillId="0" borderId="0" xfId="0" applyFill="1"/>
    <xf numFmtId="0" fontId="0" fillId="5" borderId="0" xfId="0" applyNumberFormat="1" applyFill="1"/>
    <xf numFmtId="0" fontId="0" fillId="0" borderId="0" xfId="0" applyNumberFormat="1"/>
    <xf numFmtId="0" fontId="0" fillId="3" borderId="0" xfId="0" applyNumberFormat="1" applyFill="1"/>
    <xf numFmtId="0" fontId="0" fillId="4" borderId="0" xfId="0" applyNumberFormat="1" applyFill="1"/>
    <xf numFmtId="0" fontId="0" fillId="6" borderId="0" xfId="0" applyNumberFormat="1" applyFill="1"/>
    <xf numFmtId="0" fontId="0" fillId="0" borderId="0" xfId="0" applyNumberFormat="1" applyFill="1"/>
    <xf numFmtId="0" fontId="0" fillId="0" borderId="0" xfId="0" applyNumberFormat="1" applyFill="1" applyBorder="1"/>
    <xf numFmtId="0" fontId="0" fillId="0" borderId="1" xfId="0" applyNumberFormat="1" applyFont="1" applyFill="1" applyBorder="1"/>
    <xf numFmtId="0" fontId="0" fillId="0" borderId="0" xfId="0" quotePrefix="1" applyNumberFormat="1" applyFill="1"/>
    <xf numFmtId="0" fontId="0" fillId="0" borderId="1" xfId="0" applyNumberFormat="1" applyFont="1" applyBorder="1"/>
    <xf numFmtId="0" fontId="0" fillId="4" borderId="1" xfId="0" applyNumberFormat="1" applyFont="1" applyFill="1" applyBorder="1"/>
    <xf numFmtId="0" fontId="17" fillId="7" borderId="1" xfId="0" applyNumberFormat="1" applyFont="1" applyFill="1" applyBorder="1"/>
    <xf numFmtId="49" fontId="0" fillId="0" borderId="0" xfId="0" applyNumberFormat="1" applyFill="1"/>
    <xf numFmtId="0" fontId="0" fillId="0" borderId="0" xfId="0" applyNumberFormat="1" applyFont="1" applyFill="1" applyBorder="1"/>
    <xf numFmtId="0" fontId="14" fillId="0" borderId="0" xfId="0" applyNumberFormat="1" applyFont="1" applyFill="1"/>
    <xf numFmtId="0" fontId="10" fillId="0" borderId="0" xfId="0" applyNumberFormat="1" applyFont="1" applyFill="1"/>
    <xf numFmtId="0" fontId="0" fillId="4" borderId="0" xfId="0" applyNumberFormat="1" applyFill="1" applyBorder="1"/>
    <xf numFmtId="0" fontId="14" fillId="0" borderId="0" xfId="0" applyNumberFormat="1" applyFont="1" applyFill="1" applyBorder="1"/>
    <xf numFmtId="9" fontId="0" fillId="0" borderId="0" xfId="0" applyNumberFormat="1" applyFill="1"/>
    <xf numFmtId="0" fontId="9" fillId="0" borderId="0" xfId="0" applyNumberFormat="1" applyFont="1" applyFill="1"/>
    <xf numFmtId="0" fontId="0" fillId="0" borderId="0" xfId="0" quotePrefix="1" applyNumberFormat="1" applyFill="1" applyBorder="1"/>
    <xf numFmtId="9" fontId="18" fillId="0" borderId="0" xfId="0" applyNumberFormat="1" applyFont="1" applyFill="1"/>
    <xf numFmtId="9" fontId="19" fillId="0" borderId="0" xfId="0" applyNumberFormat="1" applyFont="1" applyFill="1"/>
    <xf numFmtId="0" fontId="19" fillId="0" borderId="0" xfId="0" applyNumberFormat="1" applyFont="1" applyFill="1"/>
    <xf numFmtId="0" fontId="8" fillId="0" borderId="0" xfId="0" applyNumberFormat="1" applyFont="1" applyFill="1"/>
    <xf numFmtId="0" fontId="20" fillId="0" borderId="0" xfId="0" applyNumberFormat="1" applyFont="1" applyFill="1"/>
    <xf numFmtId="0" fontId="0" fillId="0" borderId="0" xfId="0" applyFont="1" applyFill="1" applyBorder="1"/>
    <xf numFmtId="0" fontId="0" fillId="0" borderId="0" xfId="0" applyFill="1" applyBorder="1"/>
    <xf numFmtId="0" fontId="5" fillId="0" borderId="0" xfId="0" applyNumberFormat="1" applyFont="1" applyFill="1" applyBorder="1"/>
    <xf numFmtId="0" fontId="5" fillId="0" borderId="0" xfId="0" applyNumberFormat="1" applyFont="1" applyFill="1"/>
    <xf numFmtId="0" fontId="21" fillId="0" borderId="0" xfId="0" applyFont="1" applyAlignment="1">
      <alignment horizontal="left" vertical="center" indent="1"/>
    </xf>
    <xf numFmtId="49" fontId="0" fillId="0" borderId="0" xfId="0" applyNumberFormat="1" applyFill="1" applyBorder="1"/>
    <xf numFmtId="164" fontId="0" fillId="0" borderId="0" xfId="0" applyNumberFormat="1" applyFill="1"/>
    <xf numFmtId="164" fontId="0" fillId="0" borderId="0" xfId="0" applyNumberFormat="1" applyFill="1" applyBorder="1"/>
    <xf numFmtId="0" fontId="15" fillId="0" borderId="0" xfId="0" applyNumberFormat="1" applyFont="1" applyFill="1" applyBorder="1"/>
    <xf numFmtId="0" fontId="17" fillId="0" borderId="0" xfId="0" applyFont="1" applyFill="1" applyBorder="1"/>
    <xf numFmtId="0" fontId="0" fillId="2" borderId="0" xfId="0" applyNumberFormat="1" applyFill="1"/>
    <xf numFmtId="0" fontId="0" fillId="2" borderId="1" xfId="0" applyNumberFormat="1" applyFill="1" applyBorder="1"/>
    <xf numFmtId="0" fontId="0" fillId="2" borderId="0" xfId="0" applyNumberFormat="1" applyFill="1" applyBorder="1"/>
    <xf numFmtId="0" fontId="23" fillId="8" borderId="0" xfId="1" applyNumberFormat="1" applyFont="1" applyBorder="1"/>
    <xf numFmtId="0" fontId="23" fillId="8" borderId="0" xfId="1" applyNumberFormat="1" applyFont="1"/>
    <xf numFmtId="0" fontId="0" fillId="0" borderId="0" xfId="0" applyNumberFormat="1" applyFont="1" applyFill="1"/>
    <xf numFmtId="0" fontId="13" fillId="0" borderId="0" xfId="0" applyNumberFormat="1" applyFont="1" applyFill="1" applyBorder="1"/>
    <xf numFmtId="0" fontId="6" fillId="0" borderId="0" xfId="0" applyNumberFormat="1" applyFont="1" applyFill="1" applyBorder="1"/>
    <xf numFmtId="0" fontId="12" fillId="0" borderId="0" xfId="0" applyNumberFormat="1" applyFont="1" applyFill="1"/>
    <xf numFmtId="0" fontId="16" fillId="0" borderId="0" xfId="0" applyNumberFormat="1" applyFont="1" applyFill="1" applyBorder="1"/>
    <xf numFmtId="0" fontId="3" fillId="0" borderId="0" xfId="0" applyNumberFormat="1" applyFont="1" applyFill="1" applyBorder="1"/>
    <xf numFmtId="0" fontId="0" fillId="0" borderId="0" xfId="0" applyNumberFormat="1" applyFill="1" applyBorder="1" applyAlignment="1">
      <alignment wrapText="1"/>
    </xf>
    <xf numFmtId="0" fontId="0" fillId="0" borderId="0" xfId="0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5" fillId="0" borderId="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5" fillId="0" borderId="0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25" fillId="0" borderId="0" xfId="0" applyNumberFormat="1" applyFont="1" applyFill="1" applyBorder="1" applyAlignment="1">
      <alignment wrapText="1"/>
    </xf>
    <xf numFmtId="0" fontId="26" fillId="0" borderId="0" xfId="0" applyNumberFormat="1" applyFont="1" applyFill="1" applyBorder="1" applyAlignment="1">
      <alignment wrapText="1"/>
    </xf>
    <xf numFmtId="0" fontId="25" fillId="0" borderId="0" xfId="0" applyNumberFormat="1" applyFont="1" applyFill="1" applyBorder="1"/>
    <xf numFmtId="0" fontId="26" fillId="0" borderId="0" xfId="0" applyNumberFormat="1" applyFont="1" applyFill="1" applyBorder="1"/>
    <xf numFmtId="0" fontId="0" fillId="0" borderId="0" xfId="0" quotePrefix="1" applyNumberFormat="1" applyFill="1" applyBorder="1" applyAlignment="1"/>
    <xf numFmtId="0" fontId="28" fillId="0" borderId="0" xfId="0" applyNumberFormat="1" applyFont="1" applyFill="1" applyBorder="1" applyAlignment="1">
      <alignment wrapText="1"/>
    </xf>
    <xf numFmtId="0" fontId="28" fillId="0" borderId="0" xfId="0" applyNumberFormat="1" applyFont="1" applyFill="1" applyBorder="1"/>
    <xf numFmtId="0" fontId="29" fillId="0" borderId="0" xfId="0" applyNumberFormat="1" applyFont="1" applyFill="1" applyBorder="1" applyAlignment="1">
      <alignment wrapText="1"/>
    </xf>
    <xf numFmtId="0" fontId="29" fillId="0" borderId="0" xfId="0" applyNumberFormat="1" applyFont="1" applyFill="1" applyBorder="1"/>
    <xf numFmtId="0" fontId="30" fillId="0" borderId="0" xfId="0" applyNumberFormat="1" applyFont="1" applyFill="1" applyBorder="1" applyAlignment="1">
      <alignment wrapText="1"/>
    </xf>
    <xf numFmtId="0" fontId="30" fillId="0" borderId="0" xfId="0" applyNumberFormat="1" applyFont="1" applyFill="1" applyBorder="1"/>
    <xf numFmtId="0" fontId="31" fillId="0" borderId="0" xfId="0" applyNumberFormat="1" applyFont="1" applyFill="1" applyBorder="1" applyAlignment="1">
      <alignment wrapText="1"/>
    </xf>
    <xf numFmtId="0" fontId="31" fillId="0" borderId="0" xfId="0" applyNumberFormat="1" applyFont="1" applyFill="1" applyBorder="1"/>
    <xf numFmtId="0" fontId="27" fillId="0" borderId="0" xfId="0" applyNumberFormat="1" applyFont="1"/>
    <xf numFmtId="0" fontId="27" fillId="0" borderId="0" xfId="0" applyFont="1"/>
    <xf numFmtId="0" fontId="32" fillId="0" borderId="0" xfId="0" applyNumberFormat="1" applyFont="1" applyFill="1" applyBorder="1" applyAlignment="1">
      <alignment wrapText="1"/>
    </xf>
    <xf numFmtId="0" fontId="32" fillId="0" borderId="0" xfId="0" applyNumberFormat="1" applyFont="1" applyFill="1" applyBorder="1"/>
    <xf numFmtId="0" fontId="32" fillId="0" borderId="0" xfId="0" applyNumberFormat="1" applyFont="1" applyFill="1" applyBorder="1" applyAlignment="1"/>
    <xf numFmtId="0" fontId="14" fillId="0" borderId="0" xfId="0" applyNumberFormat="1" applyFont="1" applyFill="1" applyBorder="1" applyAlignment="1">
      <alignment horizontal="left"/>
    </xf>
    <xf numFmtId="0" fontId="14" fillId="0" borderId="0" xfId="0" applyFont="1" applyFill="1" applyAlignment="1">
      <alignment horizontal="left"/>
    </xf>
    <xf numFmtId="0" fontId="0" fillId="0" borderId="0" xfId="0" applyNumberFormat="1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left"/>
    </xf>
    <xf numFmtId="0" fontId="3" fillId="0" borderId="0" xfId="0" quotePrefix="1" applyNumberFormat="1" applyFont="1" applyFill="1" applyBorder="1" applyAlignment="1">
      <alignment wrapText="1"/>
    </xf>
    <xf numFmtId="0" fontId="32" fillId="0" borderId="0" xfId="0" applyNumberFormat="1" applyFont="1" applyFill="1"/>
    <xf numFmtId="0" fontId="25" fillId="0" borderId="0" xfId="0" applyNumberFormat="1" applyFont="1" applyFill="1"/>
    <xf numFmtId="0" fontId="30" fillId="0" borderId="0" xfId="0" applyNumberFormat="1" applyFont="1" applyFill="1"/>
    <xf numFmtId="0" fontId="28" fillId="0" borderId="0" xfId="0" applyNumberFormat="1" applyFont="1" applyFill="1"/>
    <xf numFmtId="0" fontId="29" fillId="0" borderId="0" xfId="0" applyNumberFormat="1" applyFont="1" applyFill="1"/>
    <xf numFmtId="0" fontId="26" fillId="0" borderId="0" xfId="0" applyNumberFormat="1" applyFont="1" applyFill="1"/>
    <xf numFmtId="0" fontId="31" fillId="0" borderId="0" xfId="0" applyNumberFormat="1" applyFont="1" applyFill="1"/>
    <xf numFmtId="0" fontId="2" fillId="0" borderId="0" xfId="0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>
      <alignment horizontal="center"/>
    </xf>
    <xf numFmtId="0" fontId="28" fillId="0" borderId="0" xfId="0" applyNumberFormat="1" applyFont="1" applyFill="1" applyBorder="1" applyAlignment="1">
      <alignment horizontal="center"/>
    </xf>
    <xf numFmtId="0" fontId="23" fillId="0" borderId="0" xfId="0" applyNumberFormat="1" applyFont="1" applyFill="1" applyBorder="1" applyAlignment="1">
      <alignment horizontal="center"/>
    </xf>
    <xf numFmtId="0" fontId="38" fillId="0" borderId="0" xfId="0" applyNumberFormat="1" applyFont="1" applyFill="1" applyBorder="1" applyAlignment="1">
      <alignment horizontal="center"/>
    </xf>
    <xf numFmtId="0" fontId="16" fillId="0" borderId="0" xfId="0" applyNumberFormat="1" applyFont="1" applyFill="1" applyBorder="1" applyAlignment="1">
      <alignment horizontal="center"/>
    </xf>
    <xf numFmtId="0" fontId="25" fillId="0" borderId="0" xfId="0" applyNumberFormat="1" applyFont="1" applyFill="1" applyAlignment="1">
      <alignment wrapText="1"/>
    </xf>
    <xf numFmtId="0" fontId="30" fillId="0" borderId="0" xfId="0" applyNumberFormat="1" applyFont="1" applyFill="1" applyAlignment="1">
      <alignment wrapText="1"/>
    </xf>
    <xf numFmtId="0" fontId="28" fillId="0" borderId="0" xfId="0" applyNumberFormat="1" applyFont="1" applyFill="1" applyAlignment="1">
      <alignment wrapText="1"/>
    </xf>
    <xf numFmtId="0" fontId="26" fillId="0" borderId="0" xfId="0" applyNumberFormat="1" applyFont="1" applyFill="1" applyAlignment="1">
      <alignment wrapText="1"/>
    </xf>
    <xf numFmtId="0" fontId="31" fillId="0" borderId="0" xfId="0" applyNumberFormat="1" applyFont="1" applyFill="1" applyAlignment="1">
      <alignment wrapText="1"/>
    </xf>
    <xf numFmtId="0" fontId="37" fillId="0" borderId="0" xfId="0" applyNumberFormat="1" applyFont="1" applyFill="1" applyBorder="1" applyAlignment="1">
      <alignment horizontal="left"/>
    </xf>
  </cellXfs>
  <cellStyles count="2">
    <cellStyle name="Neutral" xfId="1" builtinId="28"/>
    <cellStyle name="Normal" xfId="0" builtinId="0"/>
  </cellStyles>
  <dxfs count="327"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color rgb="FF3A9818"/>
      </font>
    </dxf>
    <dxf>
      <font>
        <color rgb="FFC00000"/>
      </font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color rgb="FF3A9818"/>
      </font>
    </dxf>
    <dxf>
      <font>
        <color rgb="FFC00000"/>
      </font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font>
        <color rgb="FF3A9818"/>
      </font>
    </dxf>
    <dxf>
      <font>
        <color rgb="FFC00000"/>
      </font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font>
        <color rgb="FF3A9818"/>
      </font>
    </dxf>
    <dxf>
      <font>
        <color rgb="FFC00000"/>
      </font>
    </dxf>
    <dxf>
      <font>
        <color rgb="FFC00000"/>
      </font>
    </dxf>
    <dxf>
      <font>
        <color rgb="FF3A9818"/>
      </font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font>
        <color rgb="FF3A9818"/>
      </font>
    </dxf>
    <dxf>
      <font>
        <color rgb="FFC00000"/>
      </font>
    </dxf>
    <dxf>
      <font>
        <color rgb="FFC00000"/>
      </font>
    </dxf>
    <dxf>
      <font>
        <color rgb="FF3A9818"/>
      </font>
    </dxf>
    <dxf>
      <fill>
        <gradientFill degree="225">
          <stop position="0">
            <color theme="0" tint="-0.1490218817712943"/>
          </stop>
          <stop position="1">
            <color theme="3" tint="0.59999389629810485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3" tint="0.80001220740379042"/>
          </stop>
        </gradient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ont>
        <color rgb="FF3A9818"/>
      </font>
    </dxf>
    <dxf>
      <font>
        <color rgb="FFC00000"/>
      </font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font>
        <color rgb="FFC00000"/>
      </font>
    </dxf>
    <dxf>
      <font>
        <color rgb="FF3A9818"/>
      </font>
    </dxf>
    <dxf>
      <fill>
        <gradientFill degree="225">
          <stop position="0">
            <color theme="0" tint="-0.1490218817712943"/>
          </stop>
          <stop position="1">
            <color theme="3" tint="0.59999389629810485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3" tint="0.80001220740379042"/>
          </stop>
        </gradient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color rgb="FF3A9818"/>
      </font>
    </dxf>
    <dxf>
      <font>
        <color rgb="FFC00000"/>
      </font>
    </dxf>
    <dxf>
      <font>
        <color rgb="FFC00000"/>
      </font>
    </dxf>
    <dxf>
      <font>
        <color rgb="FF3A9818"/>
      </font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3" tint="0.59999389629810485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3" tint="0.80001220740379042"/>
          </stop>
        </gradient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font>
        <color rgb="FF3A9818"/>
      </font>
    </dxf>
    <dxf>
      <font>
        <color rgb="FFC00000"/>
      </font>
    </dxf>
    <dxf>
      <font>
        <color rgb="FFC00000"/>
      </font>
    </dxf>
    <dxf>
      <font>
        <color rgb="FF3A9818"/>
      </font>
    </dxf>
    <dxf>
      <fill>
        <gradientFill degree="225">
          <stop position="0">
            <color theme="0" tint="-0.1490218817712943"/>
          </stop>
          <stop position="1">
            <color theme="3" tint="0.59999389629810485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3" tint="0.80001220740379042"/>
          </stop>
        </gradient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5" tint="0.39997558519241921"/>
        </patternFill>
      </fill>
    </dxf>
    <dxf>
      <numFmt numFmtId="0" formatCode="General"/>
      <fill>
        <patternFill patternType="solid">
          <fgColor indexed="64"/>
          <bgColor theme="8" tint="0.39997558519241921"/>
        </patternFill>
      </fill>
    </dxf>
    <dxf>
      <font>
        <color auto="1"/>
      </font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solid">
          <fgColor indexed="64"/>
          <bgColor theme="5" tint="0.39997558519241921"/>
        </patternFill>
      </fill>
    </dxf>
    <dxf>
      <numFmt numFmtId="0" formatCode="General"/>
      <fill>
        <patternFill patternType="solid">
          <fgColor indexed="64"/>
          <bgColor theme="8" tint="0.3999755851924192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2" tint="-0.249977111117893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color theme="0" tint="-0.499984740745262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C00000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70C0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theme="9" tint="-0.499984740745262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theme="6" tint="-0.499984740745262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7030A0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theme="2" tint="-0.749992370372631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color theme="0" tint="-0.499984740745262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C00000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70C0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theme="9" tint="-0.499984740745262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theme="6" tint="-0.499984740745262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7030A0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theme="2" tint="-0.749992370372631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0" formatCode="General"/>
      <fill>
        <patternFill patternType="none">
          <fgColor theme="4" tint="0.79998168889431442"/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rgb="FF7030A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2" tint="-0.74999237037263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</font>
      <numFmt numFmtId="0" formatCode="General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font>
        <color rgb="FF3A9818"/>
      </font>
    </dxf>
    <dxf>
      <font>
        <color rgb="FFC00000"/>
      </font>
    </dxf>
    <dxf>
      <font>
        <color rgb="FFC00000"/>
      </font>
    </dxf>
    <dxf>
      <font>
        <color rgb="FF3A9818"/>
      </font>
    </dxf>
    <dxf>
      <fill>
        <gradientFill degree="225">
          <stop position="0">
            <color theme="0" tint="-0.1490218817712943"/>
          </stop>
          <stop position="1">
            <color theme="3" tint="0.59999389629810485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3" tint="0.80001220740379042"/>
          </stop>
        </gradient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ont>
        <strike val="0"/>
        <color theme="0" tint="-0.499984740745262"/>
      </font>
    </dxf>
    <dxf>
      <font>
        <strike val="0"/>
        <color rgb="FFC00000"/>
      </font>
    </dxf>
    <dxf>
      <font>
        <strike val="0"/>
        <color rgb="FF0070C0"/>
      </font>
    </dxf>
    <dxf>
      <font>
        <strike val="0"/>
        <color theme="9" tint="-0.499984740745262"/>
      </font>
    </dxf>
    <dxf>
      <font>
        <strike val="0"/>
        <color theme="6" tint="-0.499984740745262"/>
      </font>
    </dxf>
    <dxf>
      <font>
        <strike val="0"/>
        <color rgb="FF7030A0"/>
      </font>
    </dxf>
    <dxf>
      <font>
        <strike val="0"/>
        <color theme="2" tint="-0.749961851863155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 tint="-0.499984740745262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C00000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70C0"/>
      </font>
      <numFmt numFmtId="0" formatCode="General"/>
      <fill>
        <patternFill patternType="none">
          <fgColor indexed="64"/>
          <bgColor indexed="65"/>
        </patternFill>
      </fill>
    </dxf>
    <dxf>
      <font>
        <color theme="9" tint="-0.499984740745262"/>
      </font>
      <numFmt numFmtId="0" formatCode="General"/>
      <fill>
        <patternFill patternType="none">
          <fgColor indexed="64"/>
          <bgColor indexed="65"/>
        </patternFill>
      </fill>
    </dxf>
    <dxf>
      <font>
        <color theme="6" tint="-0.499984740745262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7030A0"/>
      </font>
      <numFmt numFmtId="0" formatCode="General"/>
      <fill>
        <patternFill patternType="none">
          <fgColor indexed="64"/>
          <bgColor indexed="65"/>
        </patternFill>
      </fill>
    </dxf>
    <dxf>
      <font>
        <color theme="2" tint="-0.749992370372631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gradientFill degree="225">
          <stop position="0">
            <color theme="0" tint="-0.1490218817712943"/>
          </stop>
          <stop position="1">
            <color theme="3" tint="0.59999389629810485"/>
          </stop>
        </gradientFill>
      </fill>
    </dxf>
    <dxf>
      <fill>
        <gradientFill degree="225">
          <stop position="0">
            <color theme="0" tint="-0.1490218817712943"/>
          </stop>
          <stop position="1">
            <color theme="3" tint="0.80001220740379042"/>
          </stop>
        </gradient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gradientFill degree="225">
          <stop position="0">
            <color theme="4" tint="0.59999389629810485"/>
          </stop>
          <stop position="1">
            <color theme="7" tint="0.40000610370189521"/>
          </stop>
        </gradientFill>
      </fill>
    </dxf>
    <dxf>
      <fill>
        <gradientFill degree="225">
          <stop position="0">
            <color theme="3" tint="0.80001220740379042"/>
          </stop>
          <stop position="1">
            <color theme="7" tint="0.59999389629810485"/>
          </stop>
        </gradientFill>
      </fill>
    </dxf>
    <dxf>
      <fill>
        <gradientFill degree="225">
          <stop position="0">
            <color theme="6" tint="0.40000610370189521"/>
          </stop>
          <stop position="1">
            <color theme="9" tint="0.40000610370189521"/>
          </stop>
        </gradientFill>
      </fill>
    </dxf>
    <dxf>
      <fill>
        <gradientFill degree="225">
          <stop position="0">
            <color theme="6" tint="0.80001220740379042"/>
          </stop>
          <stop position="1">
            <color theme="9" tint="0.59999389629810485"/>
          </stop>
        </gradientFill>
      </fill>
    </dxf>
    <dxf>
      <font>
        <color rgb="FF3A9818"/>
      </font>
    </dxf>
    <dxf>
      <font>
        <color rgb="FFC00000"/>
      </font>
    </dxf>
    <dxf>
      <font>
        <color rgb="FFC00000"/>
      </font>
    </dxf>
    <dxf>
      <font>
        <color rgb="FF3A9818"/>
      </font>
    </dxf>
  </dxfs>
  <tableStyles count="0" defaultTableStyle="TableStyleMedium2" defaultPivotStyle="PivotStyleMedium9"/>
  <colors>
    <mruColors>
      <color rgb="FF3A9818"/>
      <color rgb="FF009900"/>
      <color rgb="FF82794A"/>
      <color rgb="FFE8D80E"/>
      <color rgb="FFBAB4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0000000}" name="SetsBaseStats" displayName="SetsBaseStats" ref="A11:U110" totalsRowShown="0" dataDxfId="314">
  <autoFilter ref="A11:U110" xr:uid="{00000000-0009-0000-0100-000013000000}"/>
  <sortState xmlns:xlrd2="http://schemas.microsoft.com/office/spreadsheetml/2017/richdata2" ref="A12:U110">
    <sortCondition ref="A11:A110"/>
  </sortState>
  <tableColumns count="21">
    <tableColumn id="1" xr3:uid="{00000000-0010-0000-0000-000001000000}" name="Tag" dataDxfId="313"/>
    <tableColumn id="2" xr3:uid="{00000000-0010-0000-0000-000002000000}" name="Physical Resistance" dataDxfId="312"/>
    <tableColumn id="3" xr3:uid="{00000000-0010-0000-0000-000003000000}" name="Ethereal Resistance" dataDxfId="311"/>
    <tableColumn id="4" xr3:uid="{00000000-0010-0000-0000-000004000000}" name="Decay Resistance" dataDxfId="310"/>
    <tableColumn id="5" xr3:uid="{00000000-0010-0000-0000-000005000000}" name="Lightning Resistance" dataDxfId="309"/>
    <tableColumn id="6" xr3:uid="{00000000-0010-0000-0000-000006000000}" name="Frost Resistance" dataDxfId="308"/>
    <tableColumn id="7" xr3:uid="{00000000-0010-0000-0000-000007000000}" name="Fire Resistance" dataDxfId="307"/>
    <tableColumn id="8" xr3:uid="{00000000-0010-0000-0000-000008000000}" name="Raw Resistance" dataDxfId="306"/>
    <tableColumn id="9" xr3:uid="{00000000-0010-0000-0000-000009000000}" name="Impact_Resistance" dataDxfId="305"/>
    <tableColumn id="10" xr3:uid="{00000000-0010-0000-0000-00000A000000}" name="Damage_Protection" dataDxfId="304"/>
    <tableColumn id="11" xr3:uid="{7981AED4-E599-4A7F-A9CB-4DE0C8D870B2}" name="BarrierProtection" dataDxfId="303"/>
    <tableColumn id="12" xr3:uid="{6AC532F6-A8D9-45AE-A04A-F7D161AFF1A6}" name="Stamina_Use_Penalty" dataDxfId="2"/>
    <tableColumn id="13" xr3:uid="{3173DC31-CCED-48FD-8FE0-733FF12509E4}" name="Movement_Penalty" dataDxfId="1"/>
    <tableColumn id="14" xr3:uid="{FBBD05A8-AF31-4187-87F4-BB15B19571FF}" name="Mana_Use_Modifier" dataDxfId="0"/>
    <tableColumn id="15" xr3:uid="{80987A6B-6B61-483F-B98A-C84B77220DC5}" name="Corruption_Protection" dataDxfId="302"/>
    <tableColumn id="16" xr3:uid="{6C627D9C-54ED-4A1F-B50D-FEAE5178D779}" name="Cooldown_Reduction" dataDxfId="301"/>
    <tableColumn id="17" xr3:uid="{F7704F9D-8445-49FD-9E69-75AF043C085C}" name="Heat_Protection" dataDxfId="300"/>
    <tableColumn id="18" xr3:uid="{080831FC-6C53-480C-BB5F-5A3CDFA35A61}" name="Cold_Protection" dataDxfId="299"/>
    <tableColumn id="19" xr3:uid="{46E7A11D-1405-4F13-A6F0-EECE3D2A5CDD}" name="MaxDurability" dataDxfId="298"/>
    <tableColumn id="20" xr3:uid="{1B594AC1-092F-4AA2-BCD7-FB812A920DC6}" name="RawWeight" dataDxfId="297"/>
    <tableColumn id="21" xr3:uid="{73BBAEFA-9F59-409C-A54C-F4CDDAEA4BB9}" name="BaseValue" dataDxfId="2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1000000}" name="Modifiers" displayName="Modifiers" ref="A1:O4" totalsRowShown="0">
  <autoFilter ref="A1:O4" xr:uid="{00000000-0009-0000-0100-000014000000}"/>
  <tableColumns count="15">
    <tableColumn id="1" xr3:uid="{00000000-0010-0000-0100-000001000000}" name="Armour Type"/>
    <tableColumn id="2" xr3:uid="{00000000-0010-0000-0100-000002000000}" name="Resistance"/>
    <tableColumn id="3" xr3:uid="{00000000-0010-0000-0100-000003000000}" name="Impact_Resistance"/>
    <tableColumn id="4" xr3:uid="{00000000-0010-0000-0100-000004000000}" name="Damage_Protection"/>
    <tableColumn id="5" xr3:uid="{00000000-0010-0000-0100-000005000000}" name="BarrierProtection"/>
    <tableColumn id="6" xr3:uid="{00000000-0010-0000-0100-000006000000}" name="Stamina_Use_Penalty"/>
    <tableColumn id="7" xr3:uid="{00000000-0010-0000-0100-000007000000}" name="Movement_Penalty"/>
    <tableColumn id="8" xr3:uid="{00000000-0010-0000-0100-000008000000}" name="Mana_Use_Modifier"/>
    <tableColumn id="9" xr3:uid="{EF580065-87F2-4891-A30C-78AA8EF86B08}" name="Corruption_Protection"/>
    <tableColumn id="10" xr3:uid="{9AB53169-2A00-4563-BBEC-00640D5DAD61}" name="Cooldown_Reduction"/>
    <tableColumn id="11" xr3:uid="{5733DD3D-A15B-4D7D-B4FF-5FAC956AA367}" name="Heat_Protection"/>
    <tableColumn id="12" xr3:uid="{B9EDABCC-9AF7-4C0A-BAF4-C7FB607EB740}" name="Cold_Protection"/>
    <tableColumn id="13" xr3:uid="{53E30F43-B9A0-4A1D-9F3D-9FE870575128}" name="MaxDurability"/>
    <tableColumn id="14" xr3:uid="{D2B8716B-3BE5-4749-B47F-11FC317C9D97}" name="RawWeight"/>
    <tableColumn id="15" xr3:uid="{E95E7A69-4072-4469-934B-EABF49242553}" name="Base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2000000}" name="Tab_RoundTo" displayName="Tab_RoundTo" ref="B7:O8" totalsRowShown="0">
  <autoFilter ref="B7:O8" xr:uid="{00000000-0009-0000-0100-000016000000}"/>
  <tableColumns count="14">
    <tableColumn id="1" xr3:uid="{00000000-0010-0000-0200-000001000000}" name="Resistance"/>
    <tableColumn id="2" xr3:uid="{00000000-0010-0000-0200-000002000000}" name="Impact_Resistance"/>
    <tableColumn id="3" xr3:uid="{00000000-0010-0000-0200-000003000000}" name="Damage_Protection"/>
    <tableColumn id="4" xr3:uid="{00000000-0010-0000-0200-000004000000}" name="BarrierProtection"/>
    <tableColumn id="5" xr3:uid="{00000000-0010-0000-0200-000005000000}" name="Stamina_Use_Penalty"/>
    <tableColumn id="6" xr3:uid="{00000000-0010-0000-0200-000006000000}" name="Movement_Penalty"/>
    <tableColumn id="7" xr3:uid="{00000000-0010-0000-0200-000007000000}" name="Mana_Use_Modifier"/>
    <tableColumn id="8" xr3:uid="{D1A3D33C-569B-4415-8113-FC71196EF97A}" name="Corruption_Protection"/>
    <tableColumn id="9" xr3:uid="{DD50D0AB-D2C3-4B7A-87F4-AF1DE16E0BFC}" name="Cooldown_Reduction"/>
    <tableColumn id="10" xr3:uid="{A6E534B3-C81F-4DD4-9FAB-C8251F5A4D1A}" name="Heat_Protection"/>
    <tableColumn id="11" xr3:uid="{A40F77A3-C1A2-4CA1-9495-F8CD4ACD97AF}" name="Cold_Protection"/>
    <tableColumn id="12" xr3:uid="{DAA50DE4-8562-496B-ABBA-BA14063B2BDF}" name="MaxDurability"/>
    <tableColumn id="13" xr3:uid="{586EA89F-F919-4FFC-95DF-AFA2D9D4D0E0}" name="RawWeight"/>
    <tableColumn id="14" xr3:uid="{21A501F2-7052-4612-92FE-824086628DE6}" name="Base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_BodyArmour" displayName="Tab_BodyArmour" ref="A1:AA101" dataDxfId="269">
  <autoFilter ref="A1:AA101" xr:uid="{00000000-0009-0000-0100-000002000000}"/>
  <sortState xmlns:xlrd2="http://schemas.microsoft.com/office/spreadsheetml/2017/richdata2" ref="A2:AA101">
    <sortCondition ref="AA1:AA101"/>
  </sortState>
  <tableColumns count="27">
    <tableColumn id="1" xr3:uid="{00000000-0010-0000-0300-000001000000}" name="ID" totalsRowLabel="Suma" dataDxfId="268"/>
    <tableColumn id="2" xr3:uid="{00000000-0010-0000-0300-000002000000}" name="Name" dataDxfId="267"/>
    <tableColumn id="3" xr3:uid="{00000000-0010-0000-0300-000003000000}" name="Physical Resistance" dataDxfId="266">
      <calculatedColumnFormula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calculatedColumnFormula>
    </tableColumn>
    <tableColumn id="21" xr3:uid="{413358BF-1F7C-4616-BE5A-70F46A486037}" name="Ethereal Resistance" dataDxfId="265">
      <calculatedColumnFormula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calculatedColumnFormula>
    </tableColumn>
    <tableColumn id="22" xr3:uid="{444E5212-99DB-4165-8C3B-C3C0AEB4BB04}" name="Decay Resistance" dataDxfId="264">
      <calculatedColumnFormula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calculatedColumnFormula>
    </tableColumn>
    <tableColumn id="23" xr3:uid="{393AC38C-B71D-4A21-9C1D-3A094462F7F3}" name="Lightning Resistance" dataDxfId="263">
      <calculatedColumnFormula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calculatedColumnFormula>
    </tableColumn>
    <tableColumn id="24" xr3:uid="{D7331DF8-5A77-40AE-B510-B3703C2185E2}" name="Frost Resistance" dataDxfId="262">
      <calculatedColumnFormula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calculatedColumnFormula>
    </tableColumn>
    <tableColumn id="25" xr3:uid="{580A469A-BFAE-4318-93C7-680B9F8972C4}" name="Fire Resistance" dataDxfId="261">
      <calculatedColumnFormula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calculatedColumnFormula>
    </tableColumn>
    <tableColumn id="26" xr3:uid="{2113E3D2-8F1A-4281-968E-E0334A5A043B}" name="Raw Resistance" dataDxfId="260">
      <calculatedColumnFormula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calculatedColumnFormula>
    </tableColumn>
    <tableColumn id="4" xr3:uid="{00000000-0010-0000-0300-000004000000}" name="Impact_Resistance" dataDxfId="259">
      <calculatedColumnFormula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calculatedColumnFormula>
    </tableColumn>
    <tableColumn id="5" xr3:uid="{00000000-0010-0000-0300-000005000000}" name="Damage_Protection" dataDxfId="258">
      <calculatedColumnFormula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calculatedColumnFormula>
    </tableColumn>
    <tableColumn id="6" xr3:uid="{00000000-0010-0000-0300-000006000000}" name="BarrierProtection" dataDxfId="257">
      <calculatedColumnFormula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calculatedColumnFormula>
    </tableColumn>
    <tableColumn id="13" xr3:uid="{00000000-0010-0000-0300-00000D000000}" name="Stamina_Use_Penalty" dataDxfId="11">
      <calculatedColumnFormula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calculatedColumnFormula>
    </tableColumn>
    <tableColumn id="30" xr3:uid="{35977C35-979C-4EA4-B6E2-27542BF7377F}" name="Movement_Penalty" dataDxfId="10">
      <calculatedColumnFormula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calculatedColumnFormula>
    </tableColumn>
    <tableColumn id="11" xr3:uid="{00000000-0010-0000-0300-00000B000000}" name="Mana_Use_Modifier" totalsRowFunction="count" dataDxfId="9">
      <calculatedColumnFormula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calculatedColumnFormula>
    </tableColumn>
    <tableColumn id="19" xr3:uid="{00000000-0010-0000-0300-000013000000}" name="Corruption_Protection" dataDxfId="256">
      <calculatedColumnFormula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calculatedColumnFormula>
    </tableColumn>
    <tableColumn id="20" xr3:uid="{00000000-0010-0000-0300-000014000000}" name="Cooldown_Reduction" dataDxfId="255">
      <calculatedColumnFormula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calculatedColumnFormula>
    </tableColumn>
    <tableColumn id="27" xr3:uid="{8D55F462-55B4-4A08-A1B3-A7F2D7533E92}" name="DMG Bonus" dataDxfId="254"/>
    <tableColumn id="8" xr3:uid="{00000000-0010-0000-0300-000008000000}" name="Pouch_Bonus" dataDxfId="253"/>
    <tableColumn id="9" xr3:uid="{00000000-0010-0000-0300-000009000000}" name="Heat_Protection" dataDxfId="252">
      <calculatedColumnFormula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calculatedColumnFormula>
    </tableColumn>
    <tableColumn id="10" xr3:uid="{00000000-0010-0000-0300-00000A000000}" name="Cold_Protection" dataDxfId="251">
      <calculatedColumnFormula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calculatedColumnFormula>
    </tableColumn>
    <tableColumn id="14" xr3:uid="{00000000-0010-0000-0300-00000E000000}" name="MaxDurability" dataDxfId="250">
      <calculatedColumnFormula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calculatedColumnFormula>
    </tableColumn>
    <tableColumn id="15" xr3:uid="{00000000-0010-0000-0300-00000F000000}" name="RawWeight" dataDxfId="249">
      <calculatedColumnFormula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calculatedColumnFormula>
    </tableColumn>
    <tableColumn id="16" xr3:uid="{00000000-0010-0000-0300-000010000000}" name="BaseValue" dataDxfId="248">
      <calculatedColumnFormula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calculatedColumnFormula>
    </tableColumn>
    <tableColumn id="12" xr3:uid="{00000000-0010-0000-0300-00000C000000}" name="Effects" dataDxfId="247"/>
    <tableColumn id="18" xr3:uid="{00000000-0010-0000-0300-000012000000}" name="EffectsValue" dataDxfId="246"/>
    <tableColumn id="28" xr3:uid="{D13FD936-8D7F-4366-A6FB-44B80D99951B}" name="Tag" dataDxfId="245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_Helmets" displayName="Tab_Helmets" ref="A1:AA111" dataDxfId="244">
  <autoFilter ref="A1:AA111" xr:uid="{00000000-0009-0000-0100-000001000000}"/>
  <sortState xmlns:xlrd2="http://schemas.microsoft.com/office/spreadsheetml/2017/richdata2" ref="A2:AA111">
    <sortCondition ref="B1:B111"/>
  </sortState>
  <tableColumns count="27">
    <tableColumn id="1" xr3:uid="{00000000-0010-0000-0400-000001000000}" name="ID" totalsRowLabel="Suma" dataDxfId="243"/>
    <tableColumn id="2" xr3:uid="{00000000-0010-0000-0400-000002000000}" name="Name" dataDxfId="242"/>
    <tableColumn id="3" xr3:uid="{00000000-0010-0000-0400-000003000000}" name="Physical Resistance" dataDxfId="241">
      <calculatedColumnFormula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calculatedColumnFormula>
    </tableColumn>
    <tableColumn id="4" xr3:uid="{00000000-0010-0000-0400-000004000000}" name="Ethereal Resistance" dataDxfId="240">
      <calculatedColumnFormula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calculatedColumnFormula>
    </tableColumn>
    <tableColumn id="5" xr3:uid="{00000000-0010-0000-0400-000005000000}" name="Decay Resistance" dataDxfId="239">
      <calculatedColumnFormula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calculatedColumnFormula>
    </tableColumn>
    <tableColumn id="6" xr3:uid="{00000000-0010-0000-0400-000006000000}" name="Lightning Resistance" dataDxfId="238">
      <calculatedColumnFormula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calculatedColumnFormula>
    </tableColumn>
    <tableColumn id="7" xr3:uid="{00000000-0010-0000-0400-000007000000}" name="Frost Resistance" dataDxfId="237">
      <calculatedColumnFormula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calculatedColumnFormula>
    </tableColumn>
    <tableColumn id="9" xr3:uid="{00000000-0010-0000-0400-000009000000}" name="Fire Resistance" dataDxfId="236">
      <calculatedColumnFormula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calculatedColumnFormula>
    </tableColumn>
    <tableColumn id="10" xr3:uid="{00000000-0010-0000-0400-00000A000000}" name="Raw Resistance" dataDxfId="235">
      <calculatedColumnFormula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calculatedColumnFormula>
    </tableColumn>
    <tableColumn id="11" xr3:uid="{00000000-0010-0000-0400-00000B000000}" name="Impact_Resistance" totalsRowFunction="count" dataDxfId="234">
      <calculatedColumnFormula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calculatedColumnFormula>
    </tableColumn>
    <tableColumn id="13" xr3:uid="{00000000-0010-0000-0400-00000D000000}" name="Damage_Protection" dataDxfId="233">
      <calculatedColumnFormula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calculatedColumnFormula>
    </tableColumn>
    <tableColumn id="14" xr3:uid="{00000000-0010-0000-0400-00000E000000}" name="BarrierProtection" dataDxfId="232">
      <calculatedColumnFormula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calculatedColumnFormula>
    </tableColumn>
    <tableColumn id="15" xr3:uid="{00000000-0010-0000-0400-00000F000000}" name="Stamina_Use_Penalty" dataDxfId="100">
      <calculatedColumnFormula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calculatedColumnFormula>
    </tableColumn>
    <tableColumn id="16" xr3:uid="{00000000-0010-0000-0400-000010000000}" name="Movement_Penalty" dataDxfId="99">
      <calculatedColumnFormula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calculatedColumnFormula>
    </tableColumn>
    <tableColumn id="8" xr3:uid="{00000000-0010-0000-0400-000008000000}" name="Mana_Use_Modifier" dataDxfId="98">
      <calculatedColumnFormula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calculatedColumnFormula>
    </tableColumn>
    <tableColumn id="17" xr3:uid="{00000000-0010-0000-0400-000011000000}" name="Corruption_Protection" dataDxfId="231">
      <calculatedColumnFormula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calculatedColumnFormula>
    </tableColumn>
    <tableColumn id="12" xr3:uid="{00000000-0010-0000-0400-00000C000000}" name="Cooldown_Reduction" dataDxfId="230">
      <calculatedColumnFormula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calculatedColumnFormula>
    </tableColumn>
    <tableColumn id="18" xr3:uid="{00000000-0010-0000-0400-000012000000}" name="DMG Bonus" dataDxfId="229"/>
    <tableColumn id="19" xr3:uid="{00000000-0010-0000-0400-000013000000}" name="PouchBonus" dataDxfId="228"/>
    <tableColumn id="20" xr3:uid="{00000000-0010-0000-0400-000014000000}" name="Heat_Protection" dataDxfId="227">
      <calculatedColumnFormula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calculatedColumnFormula>
    </tableColumn>
    <tableColumn id="21" xr3:uid="{99C81570-AFB7-47D1-8149-F33F4E05061C}" name="Cold_Protection" dataDxfId="226">
      <calculatedColumnFormula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calculatedColumnFormula>
    </tableColumn>
    <tableColumn id="22" xr3:uid="{94534E8D-782C-406A-8966-892DC069F6A8}" name="MaxDurability" dataDxfId="225">
      <calculatedColumnFormula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calculatedColumnFormula>
    </tableColumn>
    <tableColumn id="23" xr3:uid="{17911879-9656-431C-86F7-42C7D772378D}" name="RawWeight" dataDxfId="224">
      <calculatedColumnFormula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calculatedColumnFormula>
    </tableColumn>
    <tableColumn id="24" xr3:uid="{84D8D6E4-6879-42D6-AA13-ED4F8A4C9F15}" name="BaseValue" dataDxfId="223">
      <calculatedColumnFormula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calculatedColumnFormula>
    </tableColumn>
    <tableColumn id="25" xr3:uid="{910BD33D-416E-4C4F-922C-73205C7CC2DD}" name="Effects" dataDxfId="222"/>
    <tableColumn id="26" xr3:uid="{12A6BBBF-C168-4C65-8482-7849FAC33540}" name="EffectsValue" dataDxfId="221"/>
    <tableColumn id="27" xr3:uid="{78956165-980E-4C54-80E1-CBE92658B977}" name="Tag" dataDxfId="220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_Boots" displayName="Tab_Boots" ref="A1:AA75" dataDxfId="219">
  <autoFilter ref="A1:AA75" xr:uid="{00000000-0009-0000-0100-000003000000}"/>
  <sortState xmlns:xlrd2="http://schemas.microsoft.com/office/spreadsheetml/2017/richdata2" ref="A2:AA75">
    <sortCondition ref="B1:B75"/>
  </sortState>
  <tableColumns count="27">
    <tableColumn id="1" xr3:uid="{00000000-0010-0000-0500-000001000000}" name="ID" totalsRowLabel="Suma" dataDxfId="218"/>
    <tableColumn id="2" xr3:uid="{00000000-0010-0000-0500-000002000000}" name="Name" dataDxfId="217"/>
    <tableColumn id="3" xr3:uid="{00000000-0010-0000-0500-000003000000}" name="Physical Resistance" dataDxfId="216">
      <calculatedColumnFormula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calculatedColumnFormula>
    </tableColumn>
    <tableColumn id="4" xr3:uid="{00000000-0010-0000-0500-000004000000}" name="Ethereal Resistance" dataDxfId="215">
      <calculatedColumnFormula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calculatedColumnFormula>
    </tableColumn>
    <tableColumn id="5" xr3:uid="{00000000-0010-0000-0500-000005000000}" name="Decay Resistance" dataDxfId="214">
      <calculatedColumnFormula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calculatedColumnFormula>
    </tableColumn>
    <tableColumn id="6" xr3:uid="{00000000-0010-0000-0500-000006000000}" name="Lightning Resistance" dataDxfId="213">
      <calculatedColumnFormula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calculatedColumnFormula>
    </tableColumn>
    <tableColumn id="7" xr3:uid="{00000000-0010-0000-0500-000007000000}" name="Frost Resistance" dataDxfId="212">
      <calculatedColumnFormula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calculatedColumnFormula>
    </tableColumn>
    <tableColumn id="9" xr3:uid="{00000000-0010-0000-0500-000009000000}" name="Fire Resistance" dataDxfId="211">
      <calculatedColumnFormula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calculatedColumnFormula>
    </tableColumn>
    <tableColumn id="10" xr3:uid="{00000000-0010-0000-0500-00000A000000}" name="Raw Resistance" dataDxfId="210">
      <calculatedColumnFormula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calculatedColumnFormula>
    </tableColumn>
    <tableColumn id="11" xr3:uid="{00000000-0010-0000-0500-00000B000000}" name="Impact_Resistance" totalsRowFunction="count" dataDxfId="209">
      <calculatedColumnFormula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calculatedColumnFormula>
    </tableColumn>
    <tableColumn id="13" xr3:uid="{00000000-0010-0000-0500-00000D000000}" name="Damage_Protection" dataDxfId="208">
      <calculatedColumnFormula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calculatedColumnFormula>
    </tableColumn>
    <tableColumn id="14" xr3:uid="{00000000-0010-0000-0500-00000E000000}" name="BarrierProtection" dataDxfId="207">
      <calculatedColumnFormula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calculatedColumnFormula>
    </tableColumn>
    <tableColumn id="15" xr3:uid="{00000000-0010-0000-0500-00000F000000}" name="Stamina_Use_Penalty" dataDxfId="206">
      <calculatedColumnFormula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calculatedColumnFormula>
    </tableColumn>
    <tableColumn id="16" xr3:uid="{00000000-0010-0000-0500-000010000000}" name="Movement_Penalty" dataDxfId="205">
      <calculatedColumnFormula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calculatedColumnFormula>
    </tableColumn>
    <tableColumn id="8" xr3:uid="{00000000-0010-0000-0500-000008000000}" name="Mana_Use_Modifier" dataDxfId="204">
      <calculatedColumnFormula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calculatedColumnFormula>
    </tableColumn>
    <tableColumn id="17" xr3:uid="{00000000-0010-0000-0500-000011000000}" name="Corruption_Protection" dataDxfId="203">
      <calculatedColumnFormula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calculatedColumnFormula>
    </tableColumn>
    <tableColumn id="12" xr3:uid="{00000000-0010-0000-0500-00000C000000}" name="Cooldown_Reduction" dataDxfId="202">
      <calculatedColumnFormula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calculatedColumnFormula>
    </tableColumn>
    <tableColumn id="18" xr3:uid="{00000000-0010-0000-0500-000012000000}" name="DMG Bonus" dataDxfId="201"/>
    <tableColumn id="19" xr3:uid="{00000000-0010-0000-0500-000013000000}" name="PouchBonus" dataDxfId="200"/>
    <tableColumn id="20" xr3:uid="{00000000-0010-0000-0500-000014000000}" name="Heat_Protection" dataDxfId="199">
      <calculatedColumnFormula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calculatedColumnFormula>
    </tableColumn>
    <tableColumn id="21" xr3:uid="{B3EFE7B2-21BF-4310-8C2C-9346025F56F4}" name="Cold_Protection" dataDxfId="198">
      <calculatedColumnFormula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calculatedColumnFormula>
    </tableColumn>
    <tableColumn id="22" xr3:uid="{430145B1-5249-4466-B41C-A6942C501EBD}" name="MaxDurability" dataDxfId="197">
      <calculatedColumnFormula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calculatedColumnFormula>
    </tableColumn>
    <tableColumn id="23" xr3:uid="{7D29DA90-235A-4347-85CA-7A85DD92C4C1}" name="RawWeight" dataDxfId="196">
      <calculatedColumnFormula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calculatedColumnFormula>
    </tableColumn>
    <tableColumn id="24" xr3:uid="{A049FC57-F089-4E27-B95E-C9788FF91850}" name="BaseValue" dataDxfId="195">
      <calculatedColumnFormula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calculatedColumnFormula>
    </tableColumn>
    <tableColumn id="25" xr3:uid="{155F75E3-8E7B-485F-B232-BFC06EFA62DA}" name="Effects" dataDxfId="194"/>
    <tableColumn id="26" xr3:uid="{F6F67C9C-0B55-434E-9AB3-1DE05B35A4C4}" name="EffectsValue" dataDxfId="193"/>
    <tableColumn id="27" xr3:uid="{907214C2-ED45-4A33-8DB1-CE1865BCBAD0}" name="Tag" dataDxfId="192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2000000}" name="Tab_Damage_BonusOrRes" displayName="Tab_Damage_BonusOrRes" ref="A1:M45" dataDxfId="191">
  <autoFilter ref="A1:M45" xr:uid="{00000000-0009-0000-0100-00000F000000}"/>
  <sortState xmlns:xlrd2="http://schemas.microsoft.com/office/spreadsheetml/2017/richdata2" ref="A2:Q34">
    <sortCondition ref="H1:H34"/>
  </sortState>
  <tableColumns count="13">
    <tableColumn id="1" xr3:uid="{00000000-0010-0000-1200-000001000000}" name="Name" totalsRowLabel="Suma" dataDxfId="190"/>
    <tableColumn id="2" xr3:uid="{00000000-0010-0000-1200-000002000000}" name="Physical Bonus" dataDxfId="189"/>
    <tableColumn id="3" xr3:uid="{00000000-0010-0000-1200-000003000000}" name="Ethereal Bonus" dataDxfId="188"/>
    <tableColumn id="4" xr3:uid="{00000000-0010-0000-1200-000004000000}" name="Decay Bonus" dataDxfId="187"/>
    <tableColumn id="5" xr3:uid="{00000000-0010-0000-1200-000005000000}" name="Lightning Bonus" dataDxfId="186"/>
    <tableColumn id="6" xr3:uid="{00000000-0010-0000-1200-000006000000}" name="Frost Bonus" dataDxfId="185"/>
    <tableColumn id="7" xr3:uid="{00000000-0010-0000-1200-000007000000}" name="Fire Bonus" dataDxfId="184"/>
    <tableColumn id="9" xr3:uid="{00000000-0010-0000-1200-000009000000}" name="Physical Resistance" dataDxfId="183"/>
    <tableColumn id="10" xr3:uid="{00000000-0010-0000-1200-00000A000000}" name="Ethereal Resistance" dataDxfId="182"/>
    <tableColumn id="11" xr3:uid="{00000000-0010-0000-1200-00000B000000}" name="Decay Resistance" totalsRowFunction="count" dataDxfId="181"/>
    <tableColumn id="8" xr3:uid="{00000000-0010-0000-1200-000008000000}" name="Lightning Resistance" dataDxfId="180"/>
    <tableColumn id="12" xr3:uid="{00000000-0010-0000-1200-00000C000000}" name="Frost Resistance" dataDxfId="179"/>
    <tableColumn id="13" xr3:uid="{00000000-0010-0000-1200-00000D000000}" name="Fire Resistance" dataDxfId="17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3000000}" name="Tab_Bags" displayName="Tab_Bags" ref="A1:J20" dataDxfId="177">
  <autoFilter ref="A1:J20" xr:uid="{00000000-0009-0000-0100-00000C000000}"/>
  <sortState xmlns:xlrd2="http://schemas.microsoft.com/office/spreadsheetml/2017/richdata2" ref="A2:J20">
    <sortCondition ref="D1:D20"/>
  </sortState>
  <tableColumns count="10">
    <tableColumn id="1" xr3:uid="{00000000-0010-0000-1300-000001000000}" name="ID" totalsRowLabel="Suma" dataDxfId="176"/>
    <tableColumn id="2" xr3:uid="{00000000-0010-0000-1300-000002000000}" name="Name" dataDxfId="175"/>
    <tableColumn id="3" xr3:uid="{00000000-0010-0000-1300-000003000000}" name="Capacity" dataDxfId="174"/>
    <tableColumn id="4" xr3:uid="{00000000-0010-0000-1300-000004000000}" name="Free Dodge" dataDxfId="173"/>
    <tableColumn id="5" xr3:uid="{00000000-0010-0000-1300-000005000000}" name="Effects 2" dataDxfId="172"/>
    <tableColumn id="6" xr3:uid="{00000000-0010-0000-1300-000006000000}" name="Effects" dataDxfId="171"/>
    <tableColumn id="7" xr3:uid="{00000000-0010-0000-1300-000007000000}" name="Preservation" dataDxfId="170"/>
    <tableColumn id="9" xr3:uid="{00000000-0010-0000-1300-000009000000}" name="Inventory Protection" dataDxfId="169"/>
    <tableColumn id="10" xr3:uid="{00000000-0010-0000-1300-00000A000000}" name="Weight" dataDxfId="168"/>
    <tableColumn id="8" xr3:uid="{00000000-0010-0000-1300-000008000000}" name="Value" dataDxfId="16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152"/>
  <sheetViews>
    <sheetView tabSelected="1" workbookViewId="0">
      <selection activeCell="M14" sqref="M14"/>
    </sheetView>
  </sheetViews>
  <sheetFormatPr defaultRowHeight="15" x14ac:dyDescent="0.25"/>
  <cols>
    <col min="1" max="1" width="22.42578125" customWidth="1"/>
    <col min="2" max="2" width="7.7109375" customWidth="1"/>
    <col min="3" max="8" width="4.7109375" customWidth="1"/>
    <col min="9" max="9" width="8.140625" customWidth="1"/>
    <col min="10" max="10" width="9.7109375" customWidth="1"/>
    <col min="11" max="11" width="8.7109375" customWidth="1"/>
    <col min="16" max="16" width="9.85546875" bestFit="1" customWidth="1"/>
    <col min="18" max="18" width="9.85546875" bestFit="1" customWidth="1"/>
  </cols>
  <sheetData>
    <row r="1" spans="1:33" x14ac:dyDescent="0.25">
      <c r="A1" t="s">
        <v>577</v>
      </c>
      <c r="B1" t="s">
        <v>581</v>
      </c>
      <c r="C1" s="3" t="s">
        <v>585</v>
      </c>
      <c r="D1" s="3" t="s">
        <v>586</v>
      </c>
      <c r="E1" s="3" t="s">
        <v>595</v>
      </c>
      <c r="F1" t="s">
        <v>587</v>
      </c>
      <c r="G1" t="s">
        <v>589</v>
      </c>
      <c r="H1" t="s">
        <v>588</v>
      </c>
      <c r="I1" t="s">
        <v>590</v>
      </c>
      <c r="J1" t="s">
        <v>591</v>
      </c>
      <c r="K1" t="s">
        <v>593</v>
      </c>
      <c r="L1" t="s">
        <v>594</v>
      </c>
      <c r="M1" t="s">
        <v>136</v>
      </c>
      <c r="N1" t="s">
        <v>137</v>
      </c>
      <c r="O1" t="s">
        <v>138</v>
      </c>
    </row>
    <row r="2" spans="1:33" ht="17.25" x14ac:dyDescent="0.25">
      <c r="A2" t="s">
        <v>578</v>
      </c>
      <c r="B2">
        <v>0.6</v>
      </c>
      <c r="C2">
        <v>0.6</v>
      </c>
      <c r="D2">
        <v>0.6</v>
      </c>
      <c r="E2">
        <v>0.6</v>
      </c>
      <c r="F2">
        <v>0.34</v>
      </c>
      <c r="G2">
        <v>0.5</v>
      </c>
      <c r="H2">
        <v>0.25</v>
      </c>
      <c r="I2">
        <v>0.34</v>
      </c>
      <c r="J2">
        <v>0.25</v>
      </c>
      <c r="K2">
        <v>0.4</v>
      </c>
      <c r="L2">
        <v>0.4</v>
      </c>
      <c r="M2">
        <v>0.33</v>
      </c>
      <c r="N2">
        <v>0.7</v>
      </c>
      <c r="O2">
        <v>0.6</v>
      </c>
      <c r="AD2" s="32" t="str">
        <f ca="1">MID(CELL("filename"),SEARCH("]",CELL("filename"))+1,31)</f>
        <v>GeneralValues</v>
      </c>
      <c r="AG2" t="str">
        <f>HLOOKUP("Impact",SetsBaseStats[#Headers],1)</f>
        <v>Cold_Protection</v>
      </c>
    </row>
    <row r="3" spans="1:33" x14ac:dyDescent="0.25">
      <c r="A3" t="s">
        <v>579</v>
      </c>
      <c r="B3">
        <v>0.25</v>
      </c>
      <c r="C3">
        <v>0.15</v>
      </c>
      <c r="D3">
        <v>0.25</v>
      </c>
      <c r="E3">
        <v>0.25</v>
      </c>
      <c r="F3">
        <v>0.33</v>
      </c>
      <c r="G3">
        <v>0.1</v>
      </c>
      <c r="H3">
        <v>0.75</v>
      </c>
      <c r="I3">
        <v>0.33</v>
      </c>
      <c r="J3">
        <v>0.75</v>
      </c>
      <c r="K3">
        <v>0.5</v>
      </c>
      <c r="L3">
        <v>0.1</v>
      </c>
      <c r="M3">
        <v>0.33</v>
      </c>
      <c r="N3">
        <v>0.1</v>
      </c>
      <c r="O3">
        <v>0.2</v>
      </c>
      <c r="AD3" t="e">
        <f ca="1">MATCH(MID(CELL("filename"),SEARCH("]",CELL("filename"))+1,31),Modifiers[Armour Type],0)</f>
        <v>#N/A</v>
      </c>
      <c r="AG3" t="e">
        <f>MATCH("Impact",SetsBaseStats[#Headers],0)</f>
        <v>#N/A</v>
      </c>
    </row>
    <row r="4" spans="1:33" x14ac:dyDescent="0.25">
      <c r="A4" t="s">
        <v>580</v>
      </c>
      <c r="B4">
        <v>0.15</v>
      </c>
      <c r="C4">
        <v>0.25</v>
      </c>
      <c r="D4">
        <v>0.15</v>
      </c>
      <c r="E4">
        <v>0.15</v>
      </c>
      <c r="F4">
        <v>0.33</v>
      </c>
      <c r="G4">
        <v>0.4</v>
      </c>
      <c r="H4">
        <v>0</v>
      </c>
      <c r="I4">
        <v>0.33</v>
      </c>
      <c r="J4">
        <v>0</v>
      </c>
      <c r="K4">
        <v>0.1</v>
      </c>
      <c r="L4">
        <v>0.5</v>
      </c>
      <c r="M4">
        <v>0.33</v>
      </c>
      <c r="N4">
        <v>0.2</v>
      </c>
      <c r="O4">
        <v>0.2</v>
      </c>
    </row>
    <row r="6" spans="1:33" x14ac:dyDescent="0.25">
      <c r="B6" t="s">
        <v>143</v>
      </c>
      <c r="E6" s="29"/>
      <c r="F6" s="29"/>
    </row>
    <row r="7" spans="1:33" x14ac:dyDescent="0.25">
      <c r="B7" t="s">
        <v>581</v>
      </c>
      <c r="C7" s="3" t="s">
        <v>585</v>
      </c>
      <c r="D7" s="3" t="s">
        <v>586</v>
      </c>
      <c r="E7" s="3" t="s">
        <v>595</v>
      </c>
      <c r="F7" t="s">
        <v>587</v>
      </c>
      <c r="G7" t="s">
        <v>589</v>
      </c>
      <c r="H7" t="s">
        <v>588</v>
      </c>
      <c r="I7" t="s">
        <v>590</v>
      </c>
      <c r="J7" t="s">
        <v>591</v>
      </c>
      <c r="K7" t="s">
        <v>593</v>
      </c>
      <c r="L7" t="s">
        <v>594</v>
      </c>
      <c r="M7" t="s">
        <v>136</v>
      </c>
      <c r="N7" t="s">
        <v>137</v>
      </c>
      <c r="O7" t="s">
        <v>138</v>
      </c>
    </row>
    <row r="8" spans="1:33" x14ac:dyDescent="0.25"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25</v>
      </c>
      <c r="N8">
        <v>1</v>
      </c>
      <c r="O8">
        <v>1</v>
      </c>
    </row>
    <row r="11" spans="1:33" x14ac:dyDescent="0.25">
      <c r="A11" t="s">
        <v>85</v>
      </c>
      <c r="B11" s="76" t="s">
        <v>130</v>
      </c>
      <c r="C11" s="76" t="s">
        <v>131</v>
      </c>
      <c r="D11" s="3" t="s">
        <v>132</v>
      </c>
      <c r="E11" s="76" t="s">
        <v>133</v>
      </c>
      <c r="F11" s="77" t="s">
        <v>134</v>
      </c>
      <c r="G11" s="76" t="s">
        <v>135</v>
      </c>
      <c r="H11" s="76" t="s">
        <v>472</v>
      </c>
      <c r="I11" s="3" t="s">
        <v>585</v>
      </c>
      <c r="J11" s="3" t="s">
        <v>586</v>
      </c>
      <c r="K11" s="3" t="s">
        <v>595</v>
      </c>
      <c r="L11" t="s">
        <v>587</v>
      </c>
      <c r="M11" t="s">
        <v>589</v>
      </c>
      <c r="N11" t="s">
        <v>588</v>
      </c>
      <c r="O11" t="s">
        <v>590</v>
      </c>
      <c r="P11" t="s">
        <v>591</v>
      </c>
      <c r="Q11" t="s">
        <v>593</v>
      </c>
      <c r="R11" t="s">
        <v>594</v>
      </c>
      <c r="S11" t="s">
        <v>136</v>
      </c>
      <c r="T11" t="s">
        <v>137</v>
      </c>
      <c r="U11" t="s">
        <v>138</v>
      </c>
    </row>
    <row r="12" spans="1:33" x14ac:dyDescent="0.25">
      <c r="A12" s="55" t="s">
        <v>491</v>
      </c>
      <c r="B12" s="78">
        <v>36</v>
      </c>
      <c r="C12" s="63"/>
      <c r="D12" s="72"/>
      <c r="E12" s="68"/>
      <c r="F12" s="70"/>
      <c r="G12" s="64">
        <v>55</v>
      </c>
      <c r="H12" s="74"/>
      <c r="I12" s="1">
        <v>36</v>
      </c>
      <c r="J12" s="1">
        <v>2</v>
      </c>
      <c r="K12" s="1"/>
      <c r="L12" s="8">
        <v>7</v>
      </c>
      <c r="M12" s="15">
        <v>7</v>
      </c>
      <c r="N12" s="8">
        <v>15</v>
      </c>
      <c r="O12" s="8"/>
      <c r="P12" s="8"/>
      <c r="Q12" s="8">
        <v>20</v>
      </c>
      <c r="R12" s="8">
        <v>12</v>
      </c>
      <c r="S12" s="1">
        <v>870</v>
      </c>
      <c r="T12" s="1">
        <v>19</v>
      </c>
      <c r="U12" s="1">
        <v>575</v>
      </c>
    </row>
    <row r="13" spans="1:33" x14ac:dyDescent="0.25">
      <c r="A13" s="55" t="s">
        <v>492</v>
      </c>
      <c r="B13">
        <v>33</v>
      </c>
      <c r="C13" s="63"/>
      <c r="D13" s="72"/>
      <c r="E13" s="68"/>
      <c r="F13" s="70">
        <v>60</v>
      </c>
      <c r="G13" s="64"/>
      <c r="H13" s="74"/>
      <c r="I13">
        <v>53</v>
      </c>
      <c r="J13">
        <v>3</v>
      </c>
      <c r="L13" s="8"/>
      <c r="M13" s="15"/>
      <c r="N13" s="8">
        <v>15</v>
      </c>
      <c r="O13" s="8"/>
      <c r="P13" s="8"/>
      <c r="R13">
        <v>20</v>
      </c>
      <c r="S13">
        <v>855</v>
      </c>
      <c r="T13">
        <v>19</v>
      </c>
      <c r="U13" s="1"/>
    </row>
    <row r="14" spans="1:33" x14ac:dyDescent="0.25">
      <c r="A14" s="56" t="s">
        <v>540</v>
      </c>
      <c r="B14">
        <v>31</v>
      </c>
      <c r="C14" s="65"/>
      <c r="D14" s="73"/>
      <c r="E14" s="69"/>
      <c r="F14" s="71"/>
      <c r="G14" s="66"/>
      <c r="H14" s="75"/>
      <c r="I14">
        <v>20</v>
      </c>
      <c r="J14">
        <v>9</v>
      </c>
      <c r="L14" s="8"/>
      <c r="M14" s="15"/>
      <c r="N14" s="8">
        <v>-10</v>
      </c>
      <c r="O14" s="8"/>
      <c r="P14" s="8"/>
      <c r="R14">
        <v>30</v>
      </c>
      <c r="S14">
        <v>585</v>
      </c>
      <c r="T14">
        <v>15</v>
      </c>
      <c r="U14" s="1"/>
    </row>
    <row r="15" spans="1:33" x14ac:dyDescent="0.25">
      <c r="A15" s="94" t="s">
        <v>545</v>
      </c>
      <c r="B15">
        <v>16</v>
      </c>
      <c r="C15" s="63">
        <v>20</v>
      </c>
      <c r="D15" s="72">
        <v>20</v>
      </c>
      <c r="E15" s="68">
        <v>20</v>
      </c>
      <c r="F15" s="70">
        <v>20</v>
      </c>
      <c r="G15" s="64">
        <v>20</v>
      </c>
      <c r="H15" s="74"/>
      <c r="I15">
        <v>7</v>
      </c>
      <c r="J15">
        <v>1</v>
      </c>
      <c r="L15" s="8"/>
      <c r="M15" s="15"/>
      <c r="N15" s="8">
        <v>-25</v>
      </c>
      <c r="O15" s="8"/>
      <c r="P15" s="8">
        <v>10</v>
      </c>
      <c r="R15">
        <v>9</v>
      </c>
      <c r="S15">
        <v>360</v>
      </c>
      <c r="T15">
        <v>5</v>
      </c>
      <c r="U15" s="1"/>
    </row>
    <row r="16" spans="1:33" x14ac:dyDescent="0.25">
      <c r="A16" s="55" t="s">
        <v>493</v>
      </c>
      <c r="B16">
        <v>27</v>
      </c>
      <c r="C16" s="65"/>
      <c r="D16" s="73">
        <v>70</v>
      </c>
      <c r="E16" s="69"/>
      <c r="F16" s="71"/>
      <c r="G16" s="66"/>
      <c r="H16" s="75"/>
      <c r="I16">
        <v>18</v>
      </c>
      <c r="L16" s="8"/>
      <c r="M16" s="15"/>
      <c r="N16" s="8"/>
      <c r="O16" s="8"/>
      <c r="P16" s="8"/>
      <c r="Q16">
        <v>28</v>
      </c>
      <c r="R16">
        <v>28</v>
      </c>
      <c r="S16">
        <v>615</v>
      </c>
      <c r="T16">
        <v>15</v>
      </c>
      <c r="U16" s="1"/>
    </row>
    <row r="17" spans="1:30" x14ac:dyDescent="0.25">
      <c r="A17" s="56" t="s">
        <v>494</v>
      </c>
      <c r="B17">
        <v>31</v>
      </c>
      <c r="C17" s="65"/>
      <c r="D17" s="73"/>
      <c r="E17" s="69"/>
      <c r="F17" s="71"/>
      <c r="G17" s="66"/>
      <c r="H17" s="75"/>
      <c r="I17">
        <v>31</v>
      </c>
      <c r="K17">
        <v>13</v>
      </c>
      <c r="L17" s="8"/>
      <c r="M17" s="15"/>
      <c r="N17" s="8"/>
      <c r="O17" s="8"/>
      <c r="P17" s="8"/>
      <c r="Q17">
        <v>14</v>
      </c>
      <c r="S17">
        <v>1800</v>
      </c>
      <c r="T17">
        <v>7</v>
      </c>
      <c r="U17" s="1"/>
    </row>
    <row r="18" spans="1:30" x14ac:dyDescent="0.25">
      <c r="A18" s="55" t="s">
        <v>495</v>
      </c>
      <c r="B18">
        <v>43</v>
      </c>
      <c r="C18" s="65"/>
      <c r="D18" s="73"/>
      <c r="E18" s="69"/>
      <c r="F18" s="71">
        <v>50</v>
      </c>
      <c r="G18" s="66"/>
      <c r="H18" s="75"/>
      <c r="I18">
        <v>39</v>
      </c>
      <c r="L18" s="8"/>
      <c r="M18" s="15"/>
      <c r="N18" s="8"/>
      <c r="O18" s="8"/>
      <c r="P18" s="8"/>
      <c r="R18">
        <v>48</v>
      </c>
      <c r="S18">
        <v>1380</v>
      </c>
      <c r="T18">
        <v>15</v>
      </c>
      <c r="U18" s="1"/>
    </row>
    <row r="19" spans="1:30" x14ac:dyDescent="0.25">
      <c r="A19" s="89" t="s">
        <v>568</v>
      </c>
      <c r="B19" s="79"/>
      <c r="C19" s="65"/>
      <c r="D19" s="73"/>
      <c r="E19" s="69"/>
      <c r="F19" s="71"/>
      <c r="G19" s="66"/>
      <c r="H19" s="75"/>
      <c r="I19" s="1"/>
      <c r="J19" s="1"/>
      <c r="K19" s="1"/>
      <c r="L19" s="8"/>
      <c r="M19" s="15"/>
      <c r="N19" s="8"/>
      <c r="O19" s="8"/>
      <c r="P19" s="8"/>
      <c r="Q19" s="8"/>
      <c r="R19" s="8"/>
      <c r="S19" s="1"/>
      <c r="T19" s="1"/>
      <c r="U19" s="1"/>
      <c r="AC19" s="29"/>
      <c r="AD19" s="29"/>
    </row>
    <row r="20" spans="1:30" x14ac:dyDescent="0.25">
      <c r="A20" s="55" t="s">
        <v>496</v>
      </c>
      <c r="B20">
        <v>55</v>
      </c>
      <c r="C20" s="65"/>
      <c r="D20" s="73"/>
      <c r="E20" s="69"/>
      <c r="F20" s="71"/>
      <c r="G20" s="66"/>
      <c r="H20" s="75"/>
      <c r="I20">
        <v>41</v>
      </c>
      <c r="J20">
        <v>7</v>
      </c>
      <c r="K20" s="1"/>
      <c r="L20" s="8">
        <v>14</v>
      </c>
      <c r="M20" s="15">
        <v>14</v>
      </c>
      <c r="N20" s="8">
        <v>40</v>
      </c>
      <c r="O20" s="8"/>
      <c r="P20" s="8"/>
      <c r="Q20">
        <v>-15</v>
      </c>
      <c r="R20">
        <v>20</v>
      </c>
      <c r="S20">
        <v>975</v>
      </c>
      <c r="T20">
        <v>41</v>
      </c>
      <c r="U20" s="1"/>
      <c r="Z20" s="15"/>
      <c r="AA20" s="29"/>
      <c r="AB20" s="29"/>
      <c r="AC20" s="29"/>
      <c r="AD20" s="29"/>
    </row>
    <row r="21" spans="1:30" x14ac:dyDescent="0.25">
      <c r="A21" s="98" t="s">
        <v>497</v>
      </c>
      <c r="B21">
        <v>48</v>
      </c>
      <c r="C21" s="63">
        <v>20</v>
      </c>
      <c r="D21" s="72">
        <v>20</v>
      </c>
      <c r="E21" s="68">
        <v>20</v>
      </c>
      <c r="F21" s="70">
        <v>20</v>
      </c>
      <c r="G21" s="64">
        <v>20</v>
      </c>
      <c r="H21" s="75"/>
      <c r="I21">
        <v>41</v>
      </c>
      <c r="J21">
        <v>7</v>
      </c>
      <c r="K21" s="1"/>
      <c r="L21" s="8">
        <v>14</v>
      </c>
      <c r="M21" s="15">
        <v>14</v>
      </c>
      <c r="N21" s="8">
        <v>10</v>
      </c>
      <c r="O21" s="8"/>
      <c r="P21" s="8"/>
      <c r="Q21">
        <v>-10</v>
      </c>
      <c r="S21">
        <v>1050</v>
      </c>
      <c r="T21">
        <v>29</v>
      </c>
      <c r="U21" s="1"/>
      <c r="Y21" s="29"/>
      <c r="Z21" s="15"/>
      <c r="AA21" s="29"/>
      <c r="AB21" s="29"/>
      <c r="AC21" s="29"/>
      <c r="AD21" s="29"/>
    </row>
    <row r="22" spans="1:30" x14ac:dyDescent="0.25">
      <c r="A22" s="98" t="s">
        <v>163</v>
      </c>
      <c r="B22">
        <v>25</v>
      </c>
      <c r="C22" s="65"/>
      <c r="D22" s="73"/>
      <c r="E22" s="69"/>
      <c r="F22" s="71"/>
      <c r="G22" s="66"/>
      <c r="H22" s="75"/>
      <c r="I22">
        <v>12</v>
      </c>
      <c r="K22" s="1"/>
      <c r="L22" s="8"/>
      <c r="M22" s="15"/>
      <c r="N22" s="8"/>
      <c r="O22" s="8"/>
      <c r="P22" s="8"/>
      <c r="R22">
        <v>9</v>
      </c>
      <c r="S22">
        <v>330</v>
      </c>
      <c r="T22">
        <v>15</v>
      </c>
      <c r="U22" s="1"/>
      <c r="AB22" s="29"/>
      <c r="AC22" s="29"/>
      <c r="AD22" s="29"/>
    </row>
    <row r="23" spans="1:30" x14ac:dyDescent="0.25">
      <c r="A23" s="94" t="s">
        <v>543</v>
      </c>
      <c r="B23">
        <v>68</v>
      </c>
      <c r="C23" s="63">
        <v>20</v>
      </c>
      <c r="D23" s="72">
        <v>20</v>
      </c>
      <c r="E23" s="68"/>
      <c r="F23" s="70"/>
      <c r="G23" s="64"/>
      <c r="H23" s="74"/>
      <c r="I23">
        <v>49</v>
      </c>
      <c r="J23">
        <v>7</v>
      </c>
      <c r="K23" s="1"/>
      <c r="L23" s="8">
        <v>18</v>
      </c>
      <c r="M23" s="15">
        <v>-20</v>
      </c>
      <c r="N23" s="8">
        <v>30</v>
      </c>
      <c r="O23" s="8"/>
      <c r="P23" s="8"/>
      <c r="S23">
        <v>1275</v>
      </c>
      <c r="T23">
        <v>38</v>
      </c>
      <c r="U23" s="1"/>
    </row>
    <row r="24" spans="1:30" x14ac:dyDescent="0.25">
      <c r="A24" s="56" t="s">
        <v>498</v>
      </c>
      <c r="B24">
        <v>43</v>
      </c>
      <c r="C24" s="63"/>
      <c r="D24" s="72"/>
      <c r="E24" s="68">
        <v>28</v>
      </c>
      <c r="F24" s="70">
        <v>28</v>
      </c>
      <c r="G24" s="64"/>
      <c r="H24" s="74"/>
      <c r="I24">
        <v>38</v>
      </c>
      <c r="J24">
        <v>8</v>
      </c>
      <c r="K24" s="1"/>
      <c r="L24" s="8"/>
      <c r="M24" s="15"/>
      <c r="N24" s="8">
        <v>7</v>
      </c>
      <c r="O24" s="8"/>
      <c r="P24" s="8"/>
      <c r="S24">
        <v>1050</v>
      </c>
      <c r="T24">
        <v>16</v>
      </c>
      <c r="U24" s="1"/>
    </row>
    <row r="25" spans="1:30" x14ac:dyDescent="0.25">
      <c r="A25" s="55" t="s">
        <v>499</v>
      </c>
      <c r="B25">
        <v>68</v>
      </c>
      <c r="C25" s="65"/>
      <c r="D25" s="73"/>
      <c r="E25" s="69">
        <v>60</v>
      </c>
      <c r="F25" s="71"/>
      <c r="G25" s="66">
        <v>60</v>
      </c>
      <c r="H25" s="75"/>
      <c r="I25">
        <v>49</v>
      </c>
      <c r="J25">
        <v>7</v>
      </c>
      <c r="K25" s="1"/>
      <c r="L25" s="8">
        <v>14</v>
      </c>
      <c r="M25" s="15">
        <v>14</v>
      </c>
      <c r="N25" s="8">
        <v>15</v>
      </c>
      <c r="O25" s="8">
        <v>20</v>
      </c>
      <c r="P25" s="8"/>
      <c r="Q25">
        <v>-12</v>
      </c>
      <c r="R25">
        <v>12</v>
      </c>
      <c r="S25">
        <v>1590</v>
      </c>
      <c r="T25">
        <v>38</v>
      </c>
      <c r="U25" s="1"/>
    </row>
    <row r="26" spans="1:30" x14ac:dyDescent="0.25">
      <c r="A26" s="89" t="s">
        <v>569</v>
      </c>
      <c r="B26" s="79"/>
      <c r="C26" s="65"/>
      <c r="D26" s="73"/>
      <c r="E26" s="69"/>
      <c r="F26" s="71"/>
      <c r="G26" s="66"/>
      <c r="H26" s="75"/>
      <c r="I26" s="1"/>
      <c r="J26" s="1"/>
      <c r="K26" s="1"/>
      <c r="L26" s="8"/>
      <c r="M26" s="15"/>
      <c r="N26" s="8"/>
      <c r="O26" s="8"/>
      <c r="P26" s="8"/>
      <c r="U26" s="1"/>
    </row>
    <row r="27" spans="1:30" x14ac:dyDescent="0.25">
      <c r="A27" s="56" t="s">
        <v>500</v>
      </c>
      <c r="B27" s="80">
        <v>48</v>
      </c>
      <c r="C27" s="63"/>
      <c r="D27" s="72"/>
      <c r="E27" s="68"/>
      <c r="F27" s="70"/>
      <c r="G27" s="64"/>
      <c r="H27" s="74"/>
      <c r="I27" s="7">
        <v>41</v>
      </c>
      <c r="J27" s="1">
        <v>14</v>
      </c>
      <c r="K27" s="1">
        <v>8</v>
      </c>
      <c r="L27" s="8">
        <v>14</v>
      </c>
      <c r="M27" s="15">
        <v>10</v>
      </c>
      <c r="N27" s="8">
        <v>15</v>
      </c>
      <c r="O27" s="8"/>
      <c r="P27" s="8"/>
      <c r="Q27" s="8">
        <v>10</v>
      </c>
      <c r="R27" s="8"/>
      <c r="S27" s="1">
        <v>1350</v>
      </c>
      <c r="T27" s="1">
        <v>43</v>
      </c>
      <c r="U27" s="1"/>
    </row>
    <row r="28" spans="1:30" x14ac:dyDescent="0.25">
      <c r="A28" s="95" t="s">
        <v>173</v>
      </c>
      <c r="B28" s="79"/>
      <c r="C28" s="65"/>
      <c r="D28" s="73"/>
      <c r="E28" s="69"/>
      <c r="F28" s="71"/>
      <c r="G28" s="66"/>
      <c r="H28" s="75"/>
      <c r="I28" s="1"/>
      <c r="J28" s="1"/>
      <c r="K28" s="1"/>
      <c r="L28" s="8"/>
      <c r="M28" s="15"/>
      <c r="N28" s="8"/>
      <c r="O28" s="8"/>
      <c r="P28" s="8"/>
      <c r="Q28" s="8"/>
      <c r="R28" s="8"/>
      <c r="S28" s="1"/>
      <c r="T28" s="1"/>
      <c r="U28" s="1"/>
    </row>
    <row r="29" spans="1:30" x14ac:dyDescent="0.25">
      <c r="A29" s="96" t="s">
        <v>584</v>
      </c>
      <c r="B29" s="79">
        <v>20</v>
      </c>
      <c r="C29" s="65"/>
      <c r="D29" s="73"/>
      <c r="E29" s="69"/>
      <c r="F29" s="71"/>
      <c r="G29" s="66"/>
      <c r="H29" s="75"/>
      <c r="I29" s="1">
        <v>10</v>
      </c>
      <c r="J29" s="1"/>
      <c r="K29" s="1"/>
      <c r="L29" s="8"/>
      <c r="M29" s="15"/>
      <c r="N29" s="8">
        <v>-30</v>
      </c>
      <c r="O29" s="8"/>
      <c r="P29" s="8"/>
      <c r="Q29" s="8">
        <v>15</v>
      </c>
      <c r="R29" s="8"/>
      <c r="S29" s="1">
        <v>500</v>
      </c>
      <c r="T29" s="1">
        <v>6</v>
      </c>
      <c r="U29" s="1">
        <v>500</v>
      </c>
    </row>
    <row r="30" spans="1:30" x14ac:dyDescent="0.25">
      <c r="A30" s="94" t="s">
        <v>565</v>
      </c>
      <c r="B30" s="79"/>
      <c r="C30" s="65"/>
      <c r="D30" s="73"/>
      <c r="E30" s="69"/>
      <c r="F30" s="71"/>
      <c r="G30" s="66"/>
      <c r="H30" s="75"/>
      <c r="I30" s="7"/>
      <c r="J30" s="1"/>
      <c r="K30" s="1"/>
      <c r="L30" s="8"/>
      <c r="M30" s="15"/>
      <c r="N30" s="8"/>
      <c r="O30" s="8"/>
      <c r="P30" s="8"/>
      <c r="Q30" s="8"/>
      <c r="R30" s="8"/>
      <c r="S30" s="29"/>
      <c r="T30" s="29"/>
      <c r="U30" s="1"/>
    </row>
    <row r="31" spans="1:30" x14ac:dyDescent="0.25">
      <c r="A31" s="55" t="s">
        <v>501</v>
      </c>
      <c r="B31" s="79">
        <v>28</v>
      </c>
      <c r="C31" s="65">
        <v>60</v>
      </c>
      <c r="D31" s="73"/>
      <c r="E31" s="69">
        <v>40</v>
      </c>
      <c r="F31" s="71"/>
      <c r="G31" s="66"/>
      <c r="H31" s="75"/>
      <c r="I31" s="1">
        <v>20</v>
      </c>
      <c r="J31" s="1">
        <v>7</v>
      </c>
      <c r="K31" s="1"/>
      <c r="L31" s="8"/>
      <c r="M31" s="15"/>
      <c r="N31" s="8">
        <v>15</v>
      </c>
      <c r="O31" s="8"/>
      <c r="P31" s="8"/>
      <c r="Q31" s="8"/>
      <c r="R31" s="8"/>
      <c r="S31" s="1">
        <v>570</v>
      </c>
      <c r="T31" s="1">
        <v>18</v>
      </c>
      <c r="U31" s="1"/>
    </row>
    <row r="32" spans="1:30" x14ac:dyDescent="0.25">
      <c r="A32" s="89" t="s">
        <v>570</v>
      </c>
      <c r="B32" s="79"/>
      <c r="C32" s="65"/>
      <c r="D32" s="73"/>
      <c r="E32" s="69"/>
      <c r="F32" s="71"/>
      <c r="G32" s="66"/>
      <c r="H32" s="75"/>
      <c r="I32" s="7"/>
      <c r="J32" s="1"/>
      <c r="K32" s="1"/>
      <c r="L32" s="8"/>
      <c r="M32" s="15"/>
      <c r="N32" s="8"/>
      <c r="O32" s="8"/>
      <c r="P32" s="8"/>
      <c r="Q32" s="8"/>
      <c r="R32" s="8"/>
      <c r="S32" s="1"/>
      <c r="T32" s="1"/>
      <c r="U32" s="29"/>
    </row>
    <row r="33" spans="1:21" x14ac:dyDescent="0.25">
      <c r="A33" s="98" t="s">
        <v>502</v>
      </c>
      <c r="B33">
        <v>59</v>
      </c>
      <c r="C33" s="65"/>
      <c r="D33" s="73"/>
      <c r="E33" s="69"/>
      <c r="F33" s="71">
        <v>90</v>
      </c>
      <c r="G33" s="66"/>
      <c r="H33" s="75"/>
      <c r="I33">
        <v>49</v>
      </c>
      <c r="J33">
        <v>7</v>
      </c>
      <c r="K33" s="1"/>
      <c r="L33" s="8">
        <v>14</v>
      </c>
      <c r="M33" s="15">
        <v>14</v>
      </c>
      <c r="N33" s="8">
        <v>20</v>
      </c>
      <c r="O33" s="8"/>
      <c r="P33" s="8"/>
      <c r="Q33">
        <v>-15</v>
      </c>
      <c r="R33">
        <v>28</v>
      </c>
      <c r="S33">
        <v>1590</v>
      </c>
      <c r="T33">
        <v>44</v>
      </c>
      <c r="U33" s="1"/>
    </row>
    <row r="34" spans="1:21" x14ac:dyDescent="0.25">
      <c r="A34" s="94" t="s">
        <v>544</v>
      </c>
      <c r="B34">
        <v>5</v>
      </c>
      <c r="C34" s="65"/>
      <c r="D34" s="73"/>
      <c r="E34" s="69"/>
      <c r="F34" s="71"/>
      <c r="G34" s="66"/>
      <c r="H34" s="75"/>
      <c r="I34">
        <v>9</v>
      </c>
      <c r="K34" s="1"/>
      <c r="L34" s="8">
        <v>-55</v>
      </c>
      <c r="M34" s="15"/>
      <c r="N34" s="8"/>
      <c r="O34" s="8"/>
      <c r="P34" s="8"/>
      <c r="Q34">
        <v>26</v>
      </c>
      <c r="S34">
        <v>510</v>
      </c>
      <c r="T34" s="3">
        <v>25</v>
      </c>
      <c r="U34" s="1"/>
    </row>
    <row r="35" spans="1:21" x14ac:dyDescent="0.25">
      <c r="A35" s="98" t="s">
        <v>94</v>
      </c>
      <c r="B35">
        <v>24</v>
      </c>
      <c r="C35" s="65"/>
      <c r="D35" s="73"/>
      <c r="E35" s="69"/>
      <c r="F35" s="71"/>
      <c r="G35" s="66"/>
      <c r="H35" s="75"/>
      <c r="I35">
        <v>17</v>
      </c>
      <c r="K35" s="1"/>
      <c r="L35" s="8"/>
      <c r="M35" s="15">
        <v>-10</v>
      </c>
      <c r="N35" s="8"/>
      <c r="O35" s="8"/>
      <c r="P35" s="8"/>
      <c r="Q35">
        <v>40</v>
      </c>
      <c r="S35">
        <v>510</v>
      </c>
      <c r="T35">
        <v>8</v>
      </c>
      <c r="U35" s="1"/>
    </row>
    <row r="36" spans="1:21" x14ac:dyDescent="0.25">
      <c r="A36" s="98" t="s">
        <v>566</v>
      </c>
      <c r="B36">
        <v>33</v>
      </c>
      <c r="C36" s="63"/>
      <c r="D36" s="72"/>
      <c r="E36" s="68"/>
      <c r="F36" s="70"/>
      <c r="G36" s="64"/>
      <c r="H36" s="74"/>
      <c r="I36">
        <v>23</v>
      </c>
      <c r="J36">
        <v>3</v>
      </c>
      <c r="K36" s="1"/>
      <c r="L36" s="8">
        <v>-20</v>
      </c>
      <c r="M36" s="15"/>
      <c r="N36" s="8">
        <v>5</v>
      </c>
      <c r="O36" s="8"/>
      <c r="P36" s="8"/>
      <c r="Q36">
        <v>24</v>
      </c>
      <c r="S36">
        <v>580</v>
      </c>
      <c r="T36">
        <v>10</v>
      </c>
      <c r="U36" s="1"/>
    </row>
    <row r="37" spans="1:21" x14ac:dyDescent="0.25">
      <c r="A37" s="89" t="s">
        <v>298</v>
      </c>
      <c r="B37" s="87"/>
      <c r="C37" s="65"/>
      <c r="D37" s="73"/>
      <c r="E37" s="69"/>
      <c r="F37" s="71"/>
      <c r="G37" s="66"/>
      <c r="H37" s="75"/>
      <c r="I37" s="1"/>
      <c r="J37" s="1"/>
      <c r="K37" s="1"/>
      <c r="L37" s="8"/>
      <c r="M37" s="15"/>
      <c r="N37" s="8"/>
      <c r="O37" s="7"/>
      <c r="P37" s="7"/>
      <c r="Q37" s="7"/>
      <c r="R37" s="7"/>
      <c r="S37" s="1"/>
      <c r="T37" s="1"/>
      <c r="U37" s="1"/>
    </row>
    <row r="38" spans="1:21" x14ac:dyDescent="0.25">
      <c r="A38" s="57" t="s">
        <v>503</v>
      </c>
      <c r="B38" s="87">
        <v>62</v>
      </c>
      <c r="C38" s="63"/>
      <c r="D38" s="72"/>
      <c r="E38" s="68"/>
      <c r="F38" s="70"/>
      <c r="G38" s="64"/>
      <c r="H38" s="74"/>
      <c r="I38" s="1">
        <v>44</v>
      </c>
      <c r="J38" s="1">
        <v>7</v>
      </c>
      <c r="K38" s="1"/>
      <c r="L38" s="8">
        <v>14</v>
      </c>
      <c r="M38" s="15">
        <v>14</v>
      </c>
      <c r="N38" s="8">
        <v>50</v>
      </c>
      <c r="O38" s="8"/>
      <c r="P38" s="8"/>
      <c r="Q38" s="7">
        <v>-10</v>
      </c>
      <c r="R38" s="7"/>
      <c r="S38" s="1">
        <v>1290</v>
      </c>
      <c r="T38" s="1">
        <v>44</v>
      </c>
      <c r="U38" s="29"/>
    </row>
    <row r="39" spans="1:21" x14ac:dyDescent="0.25">
      <c r="A39" s="57" t="s">
        <v>504</v>
      </c>
      <c r="B39" s="87">
        <v>45</v>
      </c>
      <c r="C39" s="65"/>
      <c r="D39" s="73">
        <v>60</v>
      </c>
      <c r="E39" s="69">
        <v>60</v>
      </c>
      <c r="F39" s="71"/>
      <c r="G39" s="66"/>
      <c r="H39" s="75"/>
      <c r="I39" s="1">
        <v>34</v>
      </c>
      <c r="J39" s="1"/>
      <c r="K39" s="1"/>
      <c r="L39" s="8">
        <v>-15</v>
      </c>
      <c r="M39" s="15">
        <v>-15</v>
      </c>
      <c r="N39" s="8"/>
      <c r="O39" s="8"/>
      <c r="P39" s="8"/>
      <c r="Q39" s="7">
        <v>30</v>
      </c>
      <c r="R39" s="7"/>
      <c r="S39" s="1">
        <v>735</v>
      </c>
      <c r="T39" s="1">
        <v>12</v>
      </c>
      <c r="U39" s="29"/>
    </row>
    <row r="40" spans="1:21" x14ac:dyDescent="0.25">
      <c r="A40" s="105" t="s">
        <v>576</v>
      </c>
      <c r="B40" s="87"/>
      <c r="C40" s="88"/>
      <c r="D40" s="89"/>
      <c r="E40" s="90"/>
      <c r="F40" s="91"/>
      <c r="G40" s="92"/>
      <c r="H40" s="93"/>
      <c r="I40" s="1"/>
      <c r="J40" s="1"/>
      <c r="K40" s="1"/>
      <c r="L40" s="8"/>
      <c r="M40" s="15"/>
      <c r="N40" s="8"/>
      <c r="O40" s="7"/>
      <c r="P40" s="7"/>
      <c r="Q40" s="7"/>
      <c r="R40" s="7"/>
      <c r="S40" s="1"/>
      <c r="T40" s="1"/>
      <c r="U40" s="1"/>
    </row>
    <row r="41" spans="1:21" x14ac:dyDescent="0.25">
      <c r="A41" s="57" t="s">
        <v>553</v>
      </c>
      <c r="B41" s="87">
        <v>7</v>
      </c>
      <c r="C41" s="88"/>
      <c r="D41" s="89"/>
      <c r="E41" s="90"/>
      <c r="F41" s="91"/>
      <c r="G41" s="92"/>
      <c r="H41" s="93"/>
      <c r="I41" s="1">
        <v>5</v>
      </c>
      <c r="J41" s="1"/>
      <c r="K41" s="1"/>
      <c r="L41" s="8">
        <v>-15</v>
      </c>
      <c r="M41" s="15"/>
      <c r="N41" s="8"/>
      <c r="O41" s="8"/>
      <c r="P41" s="8"/>
      <c r="Q41" s="7">
        <v>16</v>
      </c>
      <c r="R41" s="7"/>
      <c r="S41" s="1">
        <v>300</v>
      </c>
      <c r="T41" s="1">
        <v>5</v>
      </c>
      <c r="U41" s="29"/>
    </row>
    <row r="42" spans="1:21" x14ac:dyDescent="0.25">
      <c r="A42" s="57" t="s">
        <v>505</v>
      </c>
      <c r="B42">
        <v>24</v>
      </c>
      <c r="C42" s="63"/>
      <c r="D42" s="72"/>
      <c r="E42" s="68"/>
      <c r="F42" s="70">
        <v>40</v>
      </c>
      <c r="G42" s="64"/>
      <c r="H42" s="74"/>
      <c r="I42">
        <v>20</v>
      </c>
      <c r="J42" s="1"/>
      <c r="K42" s="1"/>
      <c r="L42" s="8"/>
      <c r="M42" s="15"/>
      <c r="N42" s="8"/>
      <c r="O42" s="7"/>
      <c r="P42" s="7"/>
      <c r="R42">
        <v>40</v>
      </c>
      <c r="S42">
        <v>540</v>
      </c>
      <c r="T42">
        <v>15</v>
      </c>
      <c r="U42" s="1"/>
    </row>
    <row r="43" spans="1:21" x14ac:dyDescent="0.25">
      <c r="A43" s="105" t="s">
        <v>305</v>
      </c>
      <c r="B43" s="79"/>
      <c r="C43" s="65"/>
      <c r="D43" s="73"/>
      <c r="E43" s="69"/>
      <c r="F43" s="71"/>
      <c r="G43" s="66"/>
      <c r="H43" s="75"/>
      <c r="I43" s="1"/>
      <c r="J43" s="1"/>
      <c r="K43" s="1"/>
      <c r="L43" s="8"/>
      <c r="M43" s="15"/>
      <c r="N43" s="8"/>
      <c r="O43" s="8"/>
      <c r="P43" s="8"/>
      <c r="Q43" s="8"/>
      <c r="R43" s="8"/>
      <c r="S43" s="1"/>
      <c r="T43" s="1"/>
      <c r="U43" s="1"/>
    </row>
    <row r="44" spans="1:21" x14ac:dyDescent="0.25">
      <c r="A44" s="105" t="s">
        <v>306</v>
      </c>
      <c r="B44" s="87"/>
      <c r="C44" s="88"/>
      <c r="D44" s="89"/>
      <c r="E44" s="90"/>
      <c r="F44" s="91"/>
      <c r="G44" s="92"/>
      <c r="H44" s="93"/>
      <c r="I44" s="1"/>
      <c r="J44" s="1"/>
      <c r="K44" s="1"/>
      <c r="L44" s="8"/>
      <c r="M44" s="15"/>
      <c r="N44" s="8"/>
      <c r="O44" s="7"/>
      <c r="P44" s="7"/>
      <c r="Q44" s="7"/>
      <c r="R44" s="7"/>
      <c r="S44" s="1"/>
      <c r="T44" s="1"/>
      <c r="U44" s="1"/>
    </row>
    <row r="45" spans="1:21" x14ac:dyDescent="0.25">
      <c r="A45" s="105" t="s">
        <v>309</v>
      </c>
      <c r="B45" s="87"/>
      <c r="C45" s="88"/>
      <c r="D45" s="89"/>
      <c r="E45" s="90"/>
      <c r="F45" s="91"/>
      <c r="G45" s="92"/>
      <c r="H45" s="93"/>
      <c r="I45" s="1"/>
      <c r="J45" s="1"/>
      <c r="K45" s="1"/>
      <c r="L45" s="8"/>
      <c r="M45" s="15"/>
      <c r="N45" s="8"/>
      <c r="O45" s="7"/>
      <c r="P45" s="7"/>
      <c r="Q45" s="7"/>
      <c r="R45" s="7"/>
      <c r="S45" s="1"/>
      <c r="T45" s="1"/>
      <c r="U45" s="1"/>
    </row>
    <row r="46" spans="1:21" x14ac:dyDescent="0.25">
      <c r="A46" s="57" t="s">
        <v>506</v>
      </c>
      <c r="B46">
        <v>27</v>
      </c>
      <c r="C46" s="63"/>
      <c r="D46" s="72"/>
      <c r="E46" s="68">
        <v>90</v>
      </c>
      <c r="F46" s="70"/>
      <c r="G46" s="64">
        <v>40</v>
      </c>
      <c r="H46" s="74"/>
      <c r="I46">
        <v>18</v>
      </c>
      <c r="L46" s="8"/>
      <c r="M46" s="15"/>
      <c r="N46" s="8">
        <v>-60</v>
      </c>
      <c r="O46" s="8"/>
      <c r="P46" s="8"/>
      <c r="S46">
        <v>1130</v>
      </c>
      <c r="T46">
        <v>9</v>
      </c>
      <c r="U46" s="29"/>
    </row>
    <row r="47" spans="1:21" x14ac:dyDescent="0.25">
      <c r="A47" s="105" t="s">
        <v>311</v>
      </c>
      <c r="B47" s="79"/>
      <c r="C47" s="65"/>
      <c r="D47" s="73"/>
      <c r="E47" s="69"/>
      <c r="F47" s="71"/>
      <c r="G47" s="66"/>
      <c r="H47" s="75"/>
      <c r="I47" s="1"/>
      <c r="J47" s="1"/>
      <c r="K47" s="1"/>
      <c r="L47" s="8"/>
      <c r="M47" s="15"/>
      <c r="N47" s="8"/>
      <c r="O47" s="8"/>
      <c r="P47" s="8"/>
      <c r="Q47" s="8"/>
      <c r="R47" s="8"/>
      <c r="S47" s="1"/>
      <c r="T47" s="1"/>
      <c r="U47" s="1"/>
    </row>
    <row r="48" spans="1:21" x14ac:dyDescent="0.25">
      <c r="A48" s="105" t="s">
        <v>312</v>
      </c>
      <c r="B48" s="87"/>
      <c r="C48" s="88"/>
      <c r="D48" s="89"/>
      <c r="E48" s="90"/>
      <c r="F48" s="91"/>
      <c r="G48" s="92"/>
      <c r="H48" s="93"/>
      <c r="I48" s="1"/>
      <c r="J48" s="1"/>
      <c r="K48" s="1"/>
      <c r="L48" s="8"/>
      <c r="M48" s="15"/>
      <c r="N48" s="8"/>
      <c r="O48" s="7"/>
      <c r="P48" s="7"/>
      <c r="Q48" s="7"/>
      <c r="R48" s="7"/>
      <c r="S48" s="1"/>
      <c r="T48" s="1"/>
      <c r="U48" s="1"/>
    </row>
    <row r="49" spans="1:21" x14ac:dyDescent="0.25">
      <c r="A49" s="98" t="s">
        <v>507</v>
      </c>
      <c r="B49">
        <v>38</v>
      </c>
      <c r="C49" s="65">
        <v>60</v>
      </c>
      <c r="D49" s="73"/>
      <c r="E49" s="69">
        <v>40</v>
      </c>
      <c r="F49" s="71"/>
      <c r="G49" s="66"/>
      <c r="H49" s="75"/>
      <c r="I49">
        <v>31</v>
      </c>
      <c r="J49">
        <v>7</v>
      </c>
      <c r="L49" s="8"/>
      <c r="M49" s="15"/>
      <c r="N49" s="8">
        <v>10</v>
      </c>
      <c r="O49" s="8"/>
      <c r="P49" s="8"/>
      <c r="S49">
        <v>1125</v>
      </c>
      <c r="T49">
        <v>18</v>
      </c>
      <c r="U49" s="29"/>
    </row>
    <row r="50" spans="1:21" x14ac:dyDescent="0.25">
      <c r="A50" s="57" t="s">
        <v>508</v>
      </c>
      <c r="B50">
        <v>32</v>
      </c>
      <c r="C50" s="65"/>
      <c r="D50" s="73"/>
      <c r="E50" s="69"/>
      <c r="F50" s="71"/>
      <c r="G50" s="66"/>
      <c r="H50" s="75"/>
      <c r="I50">
        <v>25</v>
      </c>
      <c r="J50">
        <v>4</v>
      </c>
      <c r="L50" s="8">
        <v>7</v>
      </c>
      <c r="M50" s="15">
        <v>7</v>
      </c>
      <c r="N50" s="8">
        <v>20</v>
      </c>
      <c r="O50" s="8"/>
      <c r="P50" s="8"/>
      <c r="S50">
        <v>660</v>
      </c>
      <c r="T50">
        <v>25</v>
      </c>
      <c r="U50" s="1"/>
    </row>
    <row r="51" spans="1:21" x14ac:dyDescent="0.25">
      <c r="A51" s="57" t="s">
        <v>509</v>
      </c>
      <c r="B51">
        <v>68</v>
      </c>
      <c r="C51" s="65"/>
      <c r="D51" s="73"/>
      <c r="E51" s="69">
        <v>-15</v>
      </c>
      <c r="F51" s="71"/>
      <c r="G51" s="66"/>
      <c r="H51" s="75"/>
      <c r="I51">
        <v>49</v>
      </c>
      <c r="J51">
        <v>7</v>
      </c>
      <c r="L51" s="8">
        <v>14</v>
      </c>
      <c r="M51" s="15">
        <v>14</v>
      </c>
      <c r="N51" s="8">
        <v>30</v>
      </c>
      <c r="O51" s="8">
        <v>-15</v>
      </c>
      <c r="P51" s="8"/>
      <c r="S51">
        <v>1275</v>
      </c>
      <c r="T51">
        <v>38</v>
      </c>
      <c r="U51" s="1"/>
    </row>
    <row r="52" spans="1:21" x14ac:dyDescent="0.25">
      <c r="A52" s="89" t="s">
        <v>571</v>
      </c>
      <c r="B52" s="87"/>
      <c r="C52" s="88"/>
      <c r="D52" s="89"/>
      <c r="E52" s="90"/>
      <c r="F52" s="91"/>
      <c r="G52" s="92"/>
      <c r="H52" s="93"/>
      <c r="I52" s="1"/>
      <c r="J52" s="1"/>
      <c r="K52" s="1"/>
      <c r="L52" s="8"/>
      <c r="M52" s="15"/>
      <c r="N52" s="8"/>
      <c r="O52" s="7"/>
      <c r="P52" s="7"/>
      <c r="Q52" s="7"/>
      <c r="R52" s="7"/>
      <c r="S52" s="1"/>
      <c r="T52" s="1"/>
      <c r="U52" s="1"/>
    </row>
    <row r="53" spans="1:21" x14ac:dyDescent="0.25">
      <c r="A53" s="57" t="s">
        <v>546</v>
      </c>
      <c r="B53" s="87">
        <v>24</v>
      </c>
      <c r="C53" s="88"/>
      <c r="D53" s="89">
        <v>40</v>
      </c>
      <c r="E53" s="90">
        <v>-40</v>
      </c>
      <c r="F53" s="91"/>
      <c r="G53" s="92"/>
      <c r="H53" s="93"/>
      <c r="I53" s="1">
        <v>10</v>
      </c>
      <c r="J53" s="1"/>
      <c r="K53" s="1"/>
      <c r="L53" s="8"/>
      <c r="M53" s="15"/>
      <c r="N53" s="8">
        <v>-30</v>
      </c>
      <c r="O53" s="7"/>
      <c r="P53" s="7"/>
      <c r="Q53" s="7"/>
      <c r="R53" s="7"/>
      <c r="S53" s="1">
        <v>540</v>
      </c>
      <c r="T53" s="1">
        <v>7</v>
      </c>
      <c r="U53" s="1"/>
    </row>
    <row r="54" spans="1:21" x14ac:dyDescent="0.25">
      <c r="A54" s="57" t="s">
        <v>547</v>
      </c>
      <c r="B54" s="87">
        <v>31</v>
      </c>
      <c r="C54" s="65"/>
      <c r="D54" s="73"/>
      <c r="E54" s="69"/>
      <c r="F54" s="71"/>
      <c r="G54" s="66"/>
      <c r="H54" s="75"/>
      <c r="I54" s="1">
        <v>18</v>
      </c>
      <c r="J54" s="1"/>
      <c r="K54" s="1"/>
      <c r="L54" s="8"/>
      <c r="M54" s="15"/>
      <c r="N54" s="8">
        <v>-55</v>
      </c>
      <c r="O54" s="8"/>
      <c r="P54" s="8"/>
      <c r="Q54" s="7"/>
      <c r="R54" s="7"/>
      <c r="S54" s="1">
        <v>945</v>
      </c>
      <c r="T54" s="1">
        <v>9</v>
      </c>
      <c r="U54" s="1"/>
    </row>
    <row r="55" spans="1:21" x14ac:dyDescent="0.25">
      <c r="A55" s="89" t="s">
        <v>572</v>
      </c>
      <c r="B55" s="87"/>
      <c r="C55" s="88"/>
      <c r="D55" s="89"/>
      <c r="E55" s="90"/>
      <c r="F55" s="91"/>
      <c r="G55" s="92"/>
      <c r="H55" s="93"/>
      <c r="I55" s="1"/>
      <c r="J55" s="1"/>
      <c r="K55" s="1"/>
      <c r="L55" s="8"/>
      <c r="M55" s="15"/>
      <c r="N55" s="8"/>
      <c r="O55" s="7"/>
      <c r="P55" s="7"/>
      <c r="Q55" s="7"/>
      <c r="R55" s="7"/>
      <c r="S55" s="1"/>
      <c r="T55" s="1"/>
      <c r="U55" s="1"/>
    </row>
    <row r="56" spans="1:21" x14ac:dyDescent="0.25">
      <c r="A56" s="57" t="s">
        <v>510</v>
      </c>
      <c r="B56" s="87">
        <v>41</v>
      </c>
      <c r="C56" s="65"/>
      <c r="D56" s="73"/>
      <c r="E56" s="69"/>
      <c r="F56" s="71"/>
      <c r="G56" s="66"/>
      <c r="H56" s="75"/>
      <c r="I56" s="1">
        <v>28</v>
      </c>
      <c r="J56" s="1"/>
      <c r="K56" s="1"/>
      <c r="L56" s="8">
        <v>-27</v>
      </c>
      <c r="M56" s="15"/>
      <c r="N56" s="8">
        <v>15</v>
      </c>
      <c r="O56" s="8"/>
      <c r="P56" s="8"/>
      <c r="Q56" s="7"/>
      <c r="R56" s="7"/>
      <c r="S56" s="1">
        <v>645</v>
      </c>
      <c r="T56" s="1">
        <v>19</v>
      </c>
      <c r="U56" s="1"/>
    </row>
    <row r="57" spans="1:21" x14ac:dyDescent="0.25">
      <c r="A57" s="98" t="s">
        <v>511</v>
      </c>
      <c r="B57" s="87">
        <v>36</v>
      </c>
      <c r="C57" s="65"/>
      <c r="D57" s="73"/>
      <c r="E57" s="69"/>
      <c r="F57" s="71"/>
      <c r="G57" s="66"/>
      <c r="H57" s="75"/>
      <c r="I57" s="1">
        <v>28</v>
      </c>
      <c r="J57" s="1"/>
      <c r="K57" s="1"/>
      <c r="L57" s="8"/>
      <c r="M57" s="15"/>
      <c r="N57" s="8">
        <v>15</v>
      </c>
      <c r="O57" s="8"/>
      <c r="P57" s="8">
        <v>10</v>
      </c>
      <c r="Q57" s="7"/>
      <c r="R57" s="7">
        <v>10</v>
      </c>
      <c r="S57" s="1">
        <v>720</v>
      </c>
      <c r="T57" s="1">
        <v>13</v>
      </c>
      <c r="U57" s="1"/>
    </row>
    <row r="58" spans="1:21" x14ac:dyDescent="0.25">
      <c r="A58" s="57" t="s">
        <v>512</v>
      </c>
      <c r="B58" s="87">
        <v>62</v>
      </c>
      <c r="C58" s="65"/>
      <c r="D58" s="73"/>
      <c r="E58" s="69"/>
      <c r="F58" s="71"/>
      <c r="G58" s="66"/>
      <c r="H58" s="75"/>
      <c r="I58" s="1">
        <v>64</v>
      </c>
      <c r="J58" s="1">
        <v>7</v>
      </c>
      <c r="K58" s="1"/>
      <c r="L58" s="8">
        <v>16</v>
      </c>
      <c r="M58" s="15">
        <v>29</v>
      </c>
      <c r="N58" s="8">
        <v>50</v>
      </c>
      <c r="O58" s="8"/>
      <c r="P58" s="8"/>
      <c r="Q58" s="7">
        <v>-10</v>
      </c>
      <c r="R58" s="7"/>
      <c r="S58" s="1">
        <v>1200</v>
      </c>
      <c r="T58" s="1">
        <v>45</v>
      </c>
      <c r="U58" s="1"/>
    </row>
    <row r="59" spans="1:21" x14ac:dyDescent="0.25">
      <c r="A59" s="57" t="s">
        <v>513</v>
      </c>
      <c r="B59" s="87">
        <v>57</v>
      </c>
      <c r="C59" s="65">
        <v>25</v>
      </c>
      <c r="D59" s="73"/>
      <c r="E59" s="69"/>
      <c r="F59" s="71"/>
      <c r="G59" s="66">
        <v>25</v>
      </c>
      <c r="H59" s="75"/>
      <c r="I59" s="1">
        <v>26</v>
      </c>
      <c r="J59" s="1"/>
      <c r="K59" s="1"/>
      <c r="L59" s="8"/>
      <c r="M59" s="15"/>
      <c r="N59" s="8"/>
      <c r="O59" s="8"/>
      <c r="P59" s="8"/>
      <c r="Q59" s="7"/>
      <c r="R59" s="7"/>
      <c r="S59" s="1">
        <v>900</v>
      </c>
      <c r="T59" s="1">
        <v>15</v>
      </c>
      <c r="U59" s="1"/>
    </row>
    <row r="60" spans="1:21" x14ac:dyDescent="0.25">
      <c r="A60" s="98" t="s">
        <v>548</v>
      </c>
      <c r="B60" s="87">
        <v>4</v>
      </c>
      <c r="C60" s="63"/>
      <c r="D60" s="72"/>
      <c r="E60" s="68"/>
      <c r="F60" s="70"/>
      <c r="G60" s="64"/>
      <c r="H60" s="74"/>
      <c r="I60" s="1">
        <v>5</v>
      </c>
      <c r="J60" s="1"/>
      <c r="K60" s="1"/>
      <c r="L60" s="8"/>
      <c r="M60" s="15"/>
      <c r="N60" s="8"/>
      <c r="O60" s="8"/>
      <c r="P60" s="8"/>
      <c r="Q60" s="7">
        <v>21</v>
      </c>
      <c r="R60" s="7"/>
      <c r="S60" s="1">
        <v>300</v>
      </c>
      <c r="T60" s="1">
        <v>4</v>
      </c>
      <c r="U60" s="1"/>
    </row>
    <row r="61" spans="1:21" x14ac:dyDescent="0.25">
      <c r="A61" s="57" t="s">
        <v>514</v>
      </c>
      <c r="B61" s="87">
        <v>10</v>
      </c>
      <c r="C61" s="63"/>
      <c r="D61" s="72"/>
      <c r="E61" s="68"/>
      <c r="F61" s="70"/>
      <c r="G61" s="64"/>
      <c r="H61" s="74"/>
      <c r="I61" s="1">
        <v>21</v>
      </c>
      <c r="J61" s="1"/>
      <c r="K61" s="1"/>
      <c r="L61" s="8"/>
      <c r="M61" s="15"/>
      <c r="N61" s="8"/>
      <c r="O61" s="8"/>
      <c r="P61" s="8"/>
      <c r="Q61" s="7"/>
      <c r="R61" s="7">
        <v>15</v>
      </c>
      <c r="S61" s="1">
        <v>240</v>
      </c>
      <c r="T61" s="1">
        <v>5</v>
      </c>
      <c r="U61" s="1"/>
    </row>
    <row r="62" spans="1:21" x14ac:dyDescent="0.25">
      <c r="A62" s="57" t="s">
        <v>549</v>
      </c>
      <c r="B62" s="87">
        <v>15</v>
      </c>
      <c r="C62" s="65"/>
      <c r="D62" s="73"/>
      <c r="E62" s="69"/>
      <c r="F62" s="71"/>
      <c r="G62" s="66"/>
      <c r="H62" s="75"/>
      <c r="I62" s="1">
        <v>20</v>
      </c>
      <c r="J62" s="1"/>
      <c r="K62" s="1"/>
      <c r="L62" s="8"/>
      <c r="M62" s="15"/>
      <c r="N62" s="8"/>
      <c r="O62" s="8"/>
      <c r="P62" s="8"/>
      <c r="Q62" s="7"/>
      <c r="R62" s="7">
        <v>20</v>
      </c>
      <c r="S62" s="1">
        <v>360</v>
      </c>
      <c r="T62" s="1">
        <v>13</v>
      </c>
      <c r="U62" s="1"/>
    </row>
    <row r="63" spans="1:21" x14ac:dyDescent="0.25">
      <c r="A63" s="57" t="s">
        <v>515</v>
      </c>
      <c r="B63" s="87">
        <v>31</v>
      </c>
      <c r="C63" s="63"/>
      <c r="D63" s="72"/>
      <c r="E63" s="68"/>
      <c r="F63" s="70"/>
      <c r="G63" s="64"/>
      <c r="H63" s="74"/>
      <c r="I63" s="1">
        <v>31</v>
      </c>
      <c r="J63" s="1">
        <v>10</v>
      </c>
      <c r="K63" s="1">
        <v>13</v>
      </c>
      <c r="L63" s="8"/>
      <c r="M63" s="15">
        <v>-20</v>
      </c>
      <c r="N63" s="8"/>
      <c r="O63" s="8"/>
      <c r="P63" s="8"/>
      <c r="Q63" s="7">
        <v>14</v>
      </c>
      <c r="R63" s="7"/>
      <c r="S63" s="1">
        <v>1800</v>
      </c>
      <c r="T63" s="1">
        <v>7</v>
      </c>
      <c r="U63" s="1"/>
    </row>
    <row r="64" spans="1:21" x14ac:dyDescent="0.25">
      <c r="A64" s="57" t="s">
        <v>550</v>
      </c>
      <c r="B64" s="87">
        <v>50</v>
      </c>
      <c r="C64" s="65"/>
      <c r="D64" s="73"/>
      <c r="E64" s="69"/>
      <c r="F64" s="71"/>
      <c r="G64" s="66"/>
      <c r="H64" s="75"/>
      <c r="I64" s="1">
        <v>39</v>
      </c>
      <c r="J64" s="1">
        <v>4</v>
      </c>
      <c r="K64" s="1"/>
      <c r="L64" s="8">
        <v>-13</v>
      </c>
      <c r="M64" s="15">
        <v>-15</v>
      </c>
      <c r="N64" s="8">
        <v>-15</v>
      </c>
      <c r="O64" s="8"/>
      <c r="P64" s="8"/>
      <c r="Q64" s="7">
        <v>32</v>
      </c>
      <c r="R64" s="7"/>
      <c r="S64" s="1">
        <v>1020</v>
      </c>
      <c r="T64" s="1">
        <v>15</v>
      </c>
      <c r="U64" s="1"/>
    </row>
    <row r="65" spans="1:21" x14ac:dyDescent="0.25">
      <c r="A65" s="57" t="s">
        <v>516</v>
      </c>
      <c r="B65" s="87">
        <v>45</v>
      </c>
      <c r="C65" s="65"/>
      <c r="D65" s="73">
        <v>20</v>
      </c>
      <c r="E65" s="69"/>
      <c r="F65" s="71"/>
      <c r="G65" s="66"/>
      <c r="H65" s="75"/>
      <c r="I65" s="1">
        <v>41</v>
      </c>
      <c r="J65" s="1">
        <v>5</v>
      </c>
      <c r="K65" s="1"/>
      <c r="L65" s="8">
        <v>-26</v>
      </c>
      <c r="M65" s="15"/>
      <c r="N65" s="8">
        <v>20</v>
      </c>
      <c r="O65" s="8"/>
      <c r="P65" s="8"/>
      <c r="Q65" s="7"/>
      <c r="R65" s="7"/>
      <c r="S65" s="1">
        <v>1035</v>
      </c>
      <c r="T65" s="1">
        <v>16</v>
      </c>
      <c r="U65" s="1"/>
    </row>
    <row r="66" spans="1:21" x14ac:dyDescent="0.25">
      <c r="A66" s="57" t="s">
        <v>541</v>
      </c>
      <c r="B66" s="87">
        <v>27</v>
      </c>
      <c r="C66" s="65"/>
      <c r="D66" s="73"/>
      <c r="E66" s="69"/>
      <c r="F66" s="71"/>
      <c r="G66" s="66"/>
      <c r="H66" s="75"/>
      <c r="I66" s="1">
        <v>17</v>
      </c>
      <c r="J66" s="1"/>
      <c r="K66" s="1"/>
      <c r="L66" s="8">
        <v>-30</v>
      </c>
      <c r="M66" s="15">
        <v>-25</v>
      </c>
      <c r="N66" s="8"/>
      <c r="O66" s="8"/>
      <c r="P66" s="8"/>
      <c r="Q66" s="7">
        <v>20</v>
      </c>
      <c r="R66" s="7">
        <v>20</v>
      </c>
      <c r="S66" s="1">
        <v>735</v>
      </c>
      <c r="T66" s="1">
        <v>5</v>
      </c>
      <c r="U66" s="1"/>
    </row>
    <row r="67" spans="1:21" x14ac:dyDescent="0.25">
      <c r="A67" s="57" t="s">
        <v>551</v>
      </c>
      <c r="B67" s="87"/>
      <c r="C67" s="88"/>
      <c r="D67" s="89"/>
      <c r="E67" s="90"/>
      <c r="F67" s="91"/>
      <c r="G67" s="92"/>
      <c r="H67" s="93"/>
      <c r="I67" s="1"/>
      <c r="J67" s="1"/>
      <c r="K67" s="1"/>
      <c r="L67" s="8"/>
      <c r="M67" s="15"/>
      <c r="N67" s="8"/>
      <c r="O67" s="7"/>
      <c r="P67" s="7"/>
      <c r="Q67" s="7"/>
      <c r="R67" s="7"/>
      <c r="S67" s="1"/>
      <c r="T67" s="1"/>
      <c r="U67" s="1"/>
    </row>
    <row r="68" spans="1:21" x14ac:dyDescent="0.25">
      <c r="A68" s="57" t="s">
        <v>517</v>
      </c>
      <c r="B68" s="87">
        <v>46</v>
      </c>
      <c r="C68" s="65"/>
      <c r="D68" s="73"/>
      <c r="E68" s="69"/>
      <c r="F68" s="71"/>
      <c r="G68" s="66"/>
      <c r="H68" s="75"/>
      <c r="I68" s="1">
        <v>32</v>
      </c>
      <c r="J68" s="1">
        <v>4</v>
      </c>
      <c r="K68" s="1"/>
      <c r="L68" s="8">
        <v>7</v>
      </c>
      <c r="M68" s="15">
        <v>7</v>
      </c>
      <c r="N68" s="8">
        <v>5</v>
      </c>
      <c r="O68" s="8"/>
      <c r="P68" s="8"/>
      <c r="Q68" s="7">
        <v>20</v>
      </c>
      <c r="R68" s="7"/>
      <c r="S68" s="1">
        <v>900</v>
      </c>
      <c r="T68" s="1">
        <v>25</v>
      </c>
      <c r="U68" s="1"/>
    </row>
    <row r="69" spans="1:21" x14ac:dyDescent="0.25">
      <c r="A69" s="96" t="s">
        <v>518</v>
      </c>
      <c r="B69" s="79">
        <v>15</v>
      </c>
      <c r="C69" s="65"/>
      <c r="D69" s="73"/>
      <c r="E69" s="69"/>
      <c r="F69" s="71"/>
      <c r="G69" s="66"/>
      <c r="H69" s="75"/>
      <c r="I69" s="1">
        <v>25</v>
      </c>
      <c r="J69" s="1"/>
      <c r="K69" s="1"/>
      <c r="L69" s="8"/>
      <c r="M69" s="15"/>
      <c r="N69" s="8"/>
      <c r="O69" s="8"/>
      <c r="P69" s="8"/>
      <c r="Q69" s="8">
        <v>10</v>
      </c>
      <c r="R69" s="8"/>
      <c r="S69" s="1">
        <v>400</v>
      </c>
      <c r="T69" s="1">
        <v>5</v>
      </c>
      <c r="U69" s="1">
        <v>50</v>
      </c>
    </row>
    <row r="70" spans="1:21" x14ac:dyDescent="0.25">
      <c r="A70" s="57" t="s">
        <v>219</v>
      </c>
      <c r="B70" s="79">
        <v>17</v>
      </c>
      <c r="C70" s="65">
        <v>50</v>
      </c>
      <c r="D70" s="73">
        <v>40</v>
      </c>
      <c r="E70" s="69"/>
      <c r="F70" s="71"/>
      <c r="G70" s="66">
        <v>40</v>
      </c>
      <c r="H70" s="75"/>
      <c r="I70" s="29">
        <v>11</v>
      </c>
      <c r="J70" s="29"/>
      <c r="K70" s="1"/>
      <c r="L70" s="8"/>
      <c r="M70" s="15">
        <v>-15</v>
      </c>
      <c r="N70" s="8">
        <v>-20</v>
      </c>
      <c r="O70" s="8"/>
      <c r="P70" s="8"/>
      <c r="Q70" s="8">
        <v>15</v>
      </c>
      <c r="R70" s="8"/>
      <c r="S70" s="1">
        <v>750</v>
      </c>
      <c r="T70" s="1">
        <v>7</v>
      </c>
      <c r="U70" s="1">
        <v>900</v>
      </c>
    </row>
    <row r="71" spans="1:21" x14ac:dyDescent="0.25">
      <c r="A71" s="98" t="s">
        <v>552</v>
      </c>
      <c r="B71">
        <v>7</v>
      </c>
      <c r="C71" s="65"/>
      <c r="D71" s="73"/>
      <c r="E71" s="69"/>
      <c r="F71" s="71"/>
      <c r="G71" s="66"/>
      <c r="H71" s="75"/>
      <c r="I71">
        <v>10</v>
      </c>
      <c r="L71" s="8">
        <v>-20</v>
      </c>
      <c r="M71" s="15"/>
      <c r="N71" s="8"/>
      <c r="O71" s="8"/>
      <c r="P71" s="8"/>
      <c r="Q71">
        <v>28</v>
      </c>
      <c r="S71">
        <v>495</v>
      </c>
      <c r="T71">
        <v>7</v>
      </c>
      <c r="U71" s="1"/>
    </row>
    <row r="72" spans="1:21" x14ac:dyDescent="0.25">
      <c r="A72" s="57" t="s">
        <v>583</v>
      </c>
      <c r="B72">
        <v>9</v>
      </c>
      <c r="C72" s="65"/>
      <c r="D72" s="73">
        <v>50</v>
      </c>
      <c r="E72" s="69"/>
      <c r="F72" s="71">
        <v>50</v>
      </c>
      <c r="G72" s="66">
        <v>50</v>
      </c>
      <c r="H72" s="75"/>
      <c r="I72">
        <v>7</v>
      </c>
      <c r="L72" s="8"/>
      <c r="M72" s="15"/>
      <c r="N72" s="8">
        <v>-10</v>
      </c>
      <c r="O72" s="8">
        <v>25</v>
      </c>
      <c r="P72" s="8"/>
      <c r="S72">
        <v>330</v>
      </c>
      <c r="T72">
        <v>5</v>
      </c>
      <c r="U72" s="1"/>
    </row>
    <row r="73" spans="1:21" x14ac:dyDescent="0.25">
      <c r="A73" s="57" t="s">
        <v>519</v>
      </c>
      <c r="B73">
        <v>62</v>
      </c>
      <c r="C73" s="65"/>
      <c r="D73" s="73"/>
      <c r="E73" s="69"/>
      <c r="F73" s="71"/>
      <c r="G73" s="66"/>
      <c r="H73" s="75"/>
      <c r="I73">
        <v>41</v>
      </c>
      <c r="J73">
        <v>7</v>
      </c>
      <c r="L73" s="8">
        <v>11</v>
      </c>
      <c r="M73" s="15">
        <v>14</v>
      </c>
      <c r="N73" s="8">
        <v>30</v>
      </c>
      <c r="O73" s="8"/>
      <c r="P73" s="8"/>
      <c r="Q73">
        <v>-15</v>
      </c>
      <c r="R73">
        <v>35</v>
      </c>
      <c r="S73">
        <v>1290</v>
      </c>
      <c r="T73">
        <v>41</v>
      </c>
      <c r="U73" s="1"/>
    </row>
    <row r="74" spans="1:21" x14ac:dyDescent="0.25">
      <c r="A74" s="57" t="s">
        <v>520</v>
      </c>
      <c r="B74">
        <v>19</v>
      </c>
      <c r="C74" s="63"/>
      <c r="D74" s="72"/>
      <c r="E74" s="68"/>
      <c r="F74" s="70">
        <v>29</v>
      </c>
      <c r="G74" s="64"/>
      <c r="H74" s="74"/>
      <c r="I74">
        <v>31</v>
      </c>
      <c r="L74" s="8"/>
      <c r="M74" s="15"/>
      <c r="N74" s="8"/>
      <c r="O74" s="8"/>
      <c r="P74" s="8"/>
      <c r="R74">
        <v>20</v>
      </c>
      <c r="S74">
        <v>450</v>
      </c>
      <c r="T74">
        <v>15</v>
      </c>
      <c r="U74" s="1"/>
    </row>
    <row r="75" spans="1:21" x14ac:dyDescent="0.25">
      <c r="A75" s="57" t="s">
        <v>521</v>
      </c>
      <c r="B75">
        <v>62</v>
      </c>
      <c r="C75" s="65"/>
      <c r="D75" s="73">
        <v>60</v>
      </c>
      <c r="E75" s="69"/>
      <c r="F75" s="71"/>
      <c r="G75" s="66"/>
      <c r="H75" s="75"/>
      <c r="I75">
        <v>44</v>
      </c>
      <c r="J75">
        <v>7</v>
      </c>
      <c r="L75" s="8">
        <v>8</v>
      </c>
      <c r="M75" s="15">
        <v>10</v>
      </c>
      <c r="N75" s="8">
        <v>30</v>
      </c>
      <c r="O75" s="8"/>
      <c r="P75" s="8"/>
      <c r="Q75">
        <v>-10</v>
      </c>
      <c r="S75">
        <v>1470</v>
      </c>
      <c r="T75">
        <v>48</v>
      </c>
      <c r="U75" s="1"/>
    </row>
    <row r="76" spans="1:21" x14ac:dyDescent="0.25">
      <c r="A76" s="57" t="s">
        <v>522</v>
      </c>
      <c r="B76">
        <v>46</v>
      </c>
      <c r="C76" s="63"/>
      <c r="D76" s="72">
        <v>45</v>
      </c>
      <c r="E76" s="68"/>
      <c r="F76" s="70"/>
      <c r="G76" s="64"/>
      <c r="H76" s="74"/>
      <c r="I76">
        <v>26</v>
      </c>
      <c r="J76">
        <v>4</v>
      </c>
      <c r="L76" s="8">
        <v>7</v>
      </c>
      <c r="M76" s="15">
        <v>7</v>
      </c>
      <c r="N76" s="8">
        <v>15</v>
      </c>
      <c r="O76" s="8"/>
      <c r="P76" s="8"/>
      <c r="Q76">
        <v>24</v>
      </c>
      <c r="R76">
        <v>24</v>
      </c>
      <c r="S76">
        <v>1125</v>
      </c>
      <c r="T76">
        <v>25</v>
      </c>
      <c r="U76" s="1"/>
    </row>
    <row r="77" spans="1:21" x14ac:dyDescent="0.25">
      <c r="A77" s="89" t="s">
        <v>573</v>
      </c>
      <c r="B77" s="87"/>
      <c r="C77" s="88"/>
      <c r="D77" s="89"/>
      <c r="E77" s="90"/>
      <c r="F77" s="91"/>
      <c r="G77" s="92"/>
      <c r="H77" s="93"/>
      <c r="I77" s="1"/>
      <c r="J77" s="1"/>
      <c r="K77" s="1"/>
      <c r="L77" s="8"/>
      <c r="M77" s="15"/>
      <c r="N77" s="8"/>
      <c r="O77" s="7"/>
      <c r="P77" s="7"/>
      <c r="Q77" s="7"/>
      <c r="R77" s="7"/>
      <c r="S77" s="1"/>
      <c r="T77" s="1"/>
      <c r="U77" s="1"/>
    </row>
    <row r="78" spans="1:21" x14ac:dyDescent="0.25">
      <c r="A78" s="96" t="s">
        <v>227</v>
      </c>
      <c r="B78" s="87"/>
      <c r="C78" s="88"/>
      <c r="D78" s="89"/>
      <c r="E78" s="90"/>
      <c r="F78" s="91"/>
      <c r="G78" s="92"/>
      <c r="H78" s="93"/>
      <c r="I78" s="1"/>
      <c r="J78" s="1"/>
      <c r="K78" s="1"/>
      <c r="L78" s="8"/>
      <c r="M78" s="15"/>
      <c r="N78" s="8"/>
      <c r="O78" s="7"/>
      <c r="P78" s="7"/>
      <c r="Q78" s="7"/>
      <c r="R78" s="7"/>
      <c r="S78" s="1"/>
      <c r="T78" s="1"/>
      <c r="U78" s="1"/>
    </row>
    <row r="79" spans="1:21" x14ac:dyDescent="0.25">
      <c r="A79" s="57" t="s">
        <v>523</v>
      </c>
      <c r="B79" s="87">
        <v>42</v>
      </c>
      <c r="C79" s="65"/>
      <c r="D79" s="73"/>
      <c r="E79" s="69"/>
      <c r="F79" s="71"/>
      <c r="G79" s="66">
        <v>60</v>
      </c>
      <c r="H79" s="75"/>
      <c r="I79" s="1">
        <v>41</v>
      </c>
      <c r="J79" s="1">
        <v>4</v>
      </c>
      <c r="K79" s="1"/>
      <c r="L79" s="8">
        <v>7</v>
      </c>
      <c r="M79" s="15">
        <v>7</v>
      </c>
      <c r="N79" s="8">
        <v>10</v>
      </c>
      <c r="O79" s="8"/>
      <c r="P79" s="8"/>
      <c r="Q79" s="7">
        <v>20</v>
      </c>
      <c r="R79" s="7"/>
      <c r="S79" s="1">
        <v>705</v>
      </c>
      <c r="T79" s="1">
        <v>19</v>
      </c>
      <c r="U79" s="1"/>
    </row>
    <row r="80" spans="1:21" x14ac:dyDescent="0.25">
      <c r="A80" s="57" t="s">
        <v>524</v>
      </c>
      <c r="B80" s="87">
        <v>64</v>
      </c>
      <c r="C80" s="65"/>
      <c r="D80" s="73"/>
      <c r="E80" s="69"/>
      <c r="F80" s="71"/>
      <c r="G80" s="66"/>
      <c r="H80" s="75"/>
      <c r="I80" s="1">
        <v>40</v>
      </c>
      <c r="J80" s="1">
        <v>5</v>
      </c>
      <c r="K80" s="1"/>
      <c r="L80" s="8">
        <v>15</v>
      </c>
      <c r="M80" s="15">
        <v>8</v>
      </c>
      <c r="N80" s="8">
        <v>15</v>
      </c>
      <c r="O80" s="8"/>
      <c r="P80" s="8"/>
      <c r="Q80" s="7">
        <v>26</v>
      </c>
      <c r="R80" s="7">
        <v>26</v>
      </c>
      <c r="S80" s="1">
        <v>1230</v>
      </c>
      <c r="T80" s="1">
        <v>36</v>
      </c>
      <c r="U80" s="1"/>
    </row>
    <row r="81" spans="1:21" x14ac:dyDescent="0.25">
      <c r="A81" s="57" t="s">
        <v>525</v>
      </c>
      <c r="B81" s="87">
        <v>48</v>
      </c>
      <c r="C81" s="65"/>
      <c r="D81" s="73"/>
      <c r="E81" s="69"/>
      <c r="F81" s="71"/>
      <c r="G81" s="66"/>
      <c r="H81" s="75"/>
      <c r="I81" s="1">
        <v>37</v>
      </c>
      <c r="J81" s="1">
        <v>7</v>
      </c>
      <c r="K81" s="1"/>
      <c r="L81" s="8">
        <v>14</v>
      </c>
      <c r="M81" s="15">
        <v>14</v>
      </c>
      <c r="N81" s="8">
        <v>50</v>
      </c>
      <c r="O81" s="8"/>
      <c r="P81" s="8"/>
      <c r="Q81" s="7">
        <v>-10</v>
      </c>
      <c r="R81" s="7"/>
      <c r="S81" s="1">
        <v>900</v>
      </c>
      <c r="T81" s="1">
        <v>38</v>
      </c>
      <c r="U81" s="1"/>
    </row>
    <row r="82" spans="1:21" x14ac:dyDescent="0.25">
      <c r="A82" s="98" t="s">
        <v>554</v>
      </c>
      <c r="B82" s="87">
        <v>5</v>
      </c>
      <c r="C82" s="65"/>
      <c r="D82" s="73"/>
      <c r="E82" s="69"/>
      <c r="F82" s="71"/>
      <c r="G82" s="66"/>
      <c r="H82" s="75"/>
      <c r="I82" s="1">
        <v>7</v>
      </c>
      <c r="J82" s="1"/>
      <c r="K82" s="1"/>
      <c r="L82" s="8">
        <v>-15</v>
      </c>
      <c r="M82" s="15"/>
      <c r="N82" s="8"/>
      <c r="O82" s="8"/>
      <c r="P82" s="8"/>
      <c r="Q82" s="7">
        <v>21</v>
      </c>
      <c r="R82" s="7"/>
      <c r="S82" s="1">
        <v>330</v>
      </c>
      <c r="T82" s="1">
        <v>5</v>
      </c>
      <c r="U82" s="1"/>
    </row>
    <row r="83" spans="1:21" x14ac:dyDescent="0.25">
      <c r="A83" s="57" t="s">
        <v>526</v>
      </c>
      <c r="B83" s="87">
        <v>44</v>
      </c>
      <c r="C83" s="88"/>
      <c r="D83" s="89"/>
      <c r="E83" s="90"/>
      <c r="F83" s="91"/>
      <c r="G83" s="92"/>
      <c r="H83" s="93"/>
      <c r="I83" s="1">
        <v>44</v>
      </c>
      <c r="J83" s="1">
        <v>7</v>
      </c>
      <c r="K83" s="1">
        <v>7</v>
      </c>
      <c r="L83" s="8">
        <v>29</v>
      </c>
      <c r="M83" s="15">
        <v>14</v>
      </c>
      <c r="N83" s="8">
        <v>-15</v>
      </c>
      <c r="O83" s="7"/>
      <c r="P83" s="7"/>
      <c r="Q83" s="7">
        <v>-10</v>
      </c>
      <c r="R83" s="7"/>
      <c r="S83" s="1">
        <v>1125</v>
      </c>
      <c r="T83" s="1">
        <v>38</v>
      </c>
      <c r="U83" s="1"/>
    </row>
    <row r="84" spans="1:21" x14ac:dyDescent="0.25">
      <c r="A84" s="57" t="s">
        <v>527</v>
      </c>
      <c r="B84" s="87">
        <v>50</v>
      </c>
      <c r="C84" s="88"/>
      <c r="D84" s="89"/>
      <c r="E84" s="90"/>
      <c r="F84" s="91"/>
      <c r="G84" s="92"/>
      <c r="H84" s="93"/>
      <c r="I84" s="1">
        <v>36</v>
      </c>
      <c r="J84" s="1">
        <v>4</v>
      </c>
      <c r="K84" s="1"/>
      <c r="L84" s="8">
        <v>7</v>
      </c>
      <c r="M84" s="15">
        <v>7</v>
      </c>
      <c r="N84" s="8">
        <v>-45</v>
      </c>
      <c r="O84" s="7"/>
      <c r="P84" s="7"/>
      <c r="Q84" s="7"/>
      <c r="R84" s="7"/>
      <c r="S84" s="1">
        <v>1020</v>
      </c>
      <c r="T84" s="1">
        <v>25</v>
      </c>
      <c r="U84" s="1"/>
    </row>
    <row r="85" spans="1:21" x14ac:dyDescent="0.25">
      <c r="A85" s="57" t="s">
        <v>557</v>
      </c>
      <c r="B85" s="87">
        <v>31</v>
      </c>
      <c r="C85" s="65"/>
      <c r="D85" s="73">
        <v>20</v>
      </c>
      <c r="E85" s="69"/>
      <c r="F85" s="71"/>
      <c r="G85" s="66"/>
      <c r="H85" s="75"/>
      <c r="I85" s="1">
        <v>35</v>
      </c>
      <c r="J85" s="1"/>
      <c r="K85" s="1"/>
      <c r="L85" s="8"/>
      <c r="M85" s="15"/>
      <c r="N85" s="8"/>
      <c r="O85" s="8"/>
      <c r="P85" s="8"/>
      <c r="Q85" s="7"/>
      <c r="R85" s="7"/>
      <c r="S85" s="1">
        <v>585</v>
      </c>
      <c r="T85" s="1">
        <v>18</v>
      </c>
      <c r="U85" s="1"/>
    </row>
    <row r="86" spans="1:21" x14ac:dyDescent="0.25">
      <c r="A86" s="89" t="s">
        <v>574</v>
      </c>
      <c r="B86" s="87"/>
      <c r="C86" s="88"/>
      <c r="D86" s="89"/>
      <c r="E86" s="90"/>
      <c r="F86" s="91"/>
      <c r="G86" s="92"/>
      <c r="H86" s="93"/>
      <c r="I86" s="1"/>
      <c r="J86" s="1"/>
      <c r="K86" s="1"/>
      <c r="L86" s="8"/>
      <c r="M86" s="15"/>
      <c r="N86" s="8"/>
      <c r="O86" s="7"/>
      <c r="P86" s="7"/>
      <c r="Q86" s="7"/>
      <c r="R86" s="7"/>
      <c r="S86" s="1"/>
      <c r="T86" s="1"/>
      <c r="U86" s="1"/>
    </row>
    <row r="87" spans="1:21" x14ac:dyDescent="0.25">
      <c r="A87" s="57" t="s">
        <v>555</v>
      </c>
      <c r="B87" s="87">
        <v>18</v>
      </c>
      <c r="C87" s="88"/>
      <c r="D87" s="89"/>
      <c r="E87" s="90"/>
      <c r="F87" s="91"/>
      <c r="G87" s="92"/>
      <c r="H87" s="93"/>
      <c r="I87" s="1">
        <v>13</v>
      </c>
      <c r="J87" s="1"/>
      <c r="K87" s="1"/>
      <c r="L87" s="8"/>
      <c r="M87" s="15"/>
      <c r="N87" s="8">
        <v>-20</v>
      </c>
      <c r="O87" s="7"/>
      <c r="P87" s="7"/>
      <c r="Q87" s="7"/>
      <c r="R87" s="7"/>
      <c r="S87" s="1">
        <v>870</v>
      </c>
      <c r="T87" s="1">
        <v>7</v>
      </c>
      <c r="U87" s="1"/>
    </row>
    <row r="88" spans="1:21" x14ac:dyDescent="0.25">
      <c r="A88" s="57" t="s">
        <v>561</v>
      </c>
      <c r="B88" s="87">
        <v>20</v>
      </c>
      <c r="C88" s="88"/>
      <c r="D88" s="89"/>
      <c r="E88" s="90"/>
      <c r="F88" s="91"/>
      <c r="G88" s="92"/>
      <c r="H88" s="93"/>
      <c r="I88" s="1">
        <v>15</v>
      </c>
      <c r="J88" s="1"/>
      <c r="K88" s="1"/>
      <c r="L88" s="8"/>
      <c r="M88" s="15"/>
      <c r="N88" s="8"/>
      <c r="O88" s="7"/>
      <c r="P88" s="7"/>
      <c r="Q88" s="7"/>
      <c r="R88" s="7">
        <v>12</v>
      </c>
      <c r="S88" s="1">
        <v>465</v>
      </c>
      <c r="T88" s="1">
        <v>15</v>
      </c>
      <c r="U88" s="1"/>
    </row>
    <row r="89" spans="1:21" x14ac:dyDescent="0.25">
      <c r="A89" s="57" t="s">
        <v>558</v>
      </c>
      <c r="B89" s="87">
        <v>18</v>
      </c>
      <c r="C89" s="88"/>
      <c r="D89" s="89"/>
      <c r="E89" s="90"/>
      <c r="F89" s="91"/>
      <c r="G89" s="92"/>
      <c r="H89" s="93"/>
      <c r="I89" s="1">
        <v>10</v>
      </c>
      <c r="J89" s="1"/>
      <c r="K89" s="1"/>
      <c r="L89" s="8"/>
      <c r="M89" s="15"/>
      <c r="N89" s="8">
        <v>-30</v>
      </c>
      <c r="O89" s="7"/>
      <c r="P89" s="7"/>
      <c r="Q89" s="7">
        <v>9</v>
      </c>
      <c r="R89" s="7">
        <v>9</v>
      </c>
      <c r="S89" s="1">
        <v>495</v>
      </c>
      <c r="T89" s="1">
        <v>7</v>
      </c>
      <c r="U89" s="1"/>
    </row>
    <row r="90" spans="1:21" x14ac:dyDescent="0.25">
      <c r="A90" s="98" t="s">
        <v>528</v>
      </c>
      <c r="B90" s="87">
        <v>46</v>
      </c>
      <c r="C90" s="88"/>
      <c r="D90" s="89"/>
      <c r="E90" s="90"/>
      <c r="F90" s="91"/>
      <c r="G90" s="92"/>
      <c r="H90" s="93"/>
      <c r="I90" s="1">
        <v>32</v>
      </c>
      <c r="J90" s="1">
        <v>4</v>
      </c>
      <c r="K90" s="1"/>
      <c r="L90" s="8"/>
      <c r="M90" s="15"/>
      <c r="N90" s="8">
        <v>15</v>
      </c>
      <c r="O90" s="7"/>
      <c r="P90" s="7">
        <v>20</v>
      </c>
      <c r="Q90" s="7"/>
      <c r="R90" s="7">
        <v>12</v>
      </c>
      <c r="S90" s="1">
        <v>900</v>
      </c>
      <c r="T90" s="1">
        <v>13</v>
      </c>
      <c r="U90" s="1"/>
    </row>
    <row r="91" spans="1:21" x14ac:dyDescent="0.25">
      <c r="A91" s="57" t="s">
        <v>529</v>
      </c>
      <c r="B91" s="87">
        <v>47</v>
      </c>
      <c r="C91" s="88"/>
      <c r="D91" s="89"/>
      <c r="E91" s="90">
        <v>90</v>
      </c>
      <c r="F91" s="91"/>
      <c r="G91" s="92"/>
      <c r="H91" s="93"/>
      <c r="I91" s="1">
        <v>55</v>
      </c>
      <c r="J91" s="1">
        <v>3</v>
      </c>
      <c r="K91" s="1"/>
      <c r="L91" s="8">
        <v>11</v>
      </c>
      <c r="M91" s="15"/>
      <c r="N91" s="8">
        <v>15</v>
      </c>
      <c r="O91" s="7"/>
      <c r="P91" s="7"/>
      <c r="Q91" s="7"/>
      <c r="R91" s="7"/>
      <c r="S91" s="1">
        <v>1500</v>
      </c>
      <c r="T91" s="1">
        <v>24</v>
      </c>
      <c r="U91" s="1"/>
    </row>
    <row r="92" spans="1:21" x14ac:dyDescent="0.25">
      <c r="A92" s="57" t="s">
        <v>530</v>
      </c>
      <c r="B92" s="87">
        <v>49</v>
      </c>
      <c r="C92" s="88"/>
      <c r="D92" s="89">
        <v>60</v>
      </c>
      <c r="E92" s="90"/>
      <c r="F92" s="91"/>
      <c r="G92" s="92"/>
      <c r="H92" s="93"/>
      <c r="I92" s="1">
        <v>29</v>
      </c>
      <c r="J92" s="1">
        <v>4</v>
      </c>
      <c r="K92" s="1"/>
      <c r="L92" s="8">
        <v>7</v>
      </c>
      <c r="M92" s="15">
        <v>7</v>
      </c>
      <c r="N92" s="8">
        <v>15</v>
      </c>
      <c r="O92" s="7"/>
      <c r="P92" s="7"/>
      <c r="Q92" s="7"/>
      <c r="R92" s="7"/>
      <c r="S92" s="1">
        <v>780</v>
      </c>
      <c r="T92" s="1">
        <v>25</v>
      </c>
      <c r="U92" s="1"/>
    </row>
    <row r="93" spans="1:21" x14ac:dyDescent="0.25">
      <c r="A93" s="89" t="s">
        <v>567</v>
      </c>
      <c r="B93" s="87"/>
      <c r="C93" s="88"/>
      <c r="D93" s="89"/>
      <c r="E93" s="90"/>
      <c r="F93" s="91"/>
      <c r="G93" s="92"/>
      <c r="H93" s="93"/>
      <c r="I93" s="1"/>
      <c r="J93" s="1"/>
      <c r="K93" s="1"/>
      <c r="L93" s="8"/>
      <c r="M93" s="15"/>
      <c r="N93" s="8"/>
      <c r="O93" s="7"/>
      <c r="P93" s="7"/>
      <c r="Q93" s="7"/>
      <c r="R93" s="7"/>
      <c r="S93" s="1"/>
      <c r="T93" s="1"/>
      <c r="U93" s="1"/>
    </row>
    <row r="94" spans="1:21" x14ac:dyDescent="0.25">
      <c r="A94" s="57" t="s">
        <v>531</v>
      </c>
      <c r="B94" s="87">
        <v>52</v>
      </c>
      <c r="C94" s="88"/>
      <c r="D94" s="89"/>
      <c r="E94" s="90">
        <v>10</v>
      </c>
      <c r="F94" s="91">
        <v>15</v>
      </c>
      <c r="G94" s="92">
        <v>15</v>
      </c>
      <c r="H94" s="93"/>
      <c r="I94" s="1">
        <v>23</v>
      </c>
      <c r="J94" s="1"/>
      <c r="K94" s="1"/>
      <c r="L94" s="8"/>
      <c r="M94" s="15"/>
      <c r="N94" s="8"/>
      <c r="O94" s="7"/>
      <c r="P94" s="7"/>
      <c r="Q94" s="7">
        <v>16</v>
      </c>
      <c r="R94" s="7">
        <v>16</v>
      </c>
      <c r="S94" s="1">
        <v>750</v>
      </c>
      <c r="T94" s="1">
        <v>15</v>
      </c>
      <c r="U94" s="1"/>
    </row>
    <row r="95" spans="1:21" x14ac:dyDescent="0.25">
      <c r="A95" s="57" t="s">
        <v>559</v>
      </c>
      <c r="B95" s="87">
        <v>40</v>
      </c>
      <c r="C95" s="88">
        <v>15</v>
      </c>
      <c r="D95" s="89">
        <v>15</v>
      </c>
      <c r="E95" s="90">
        <v>15</v>
      </c>
      <c r="F95" s="91">
        <v>15</v>
      </c>
      <c r="G95" s="92">
        <v>15</v>
      </c>
      <c r="H95" s="93"/>
      <c r="I95" s="1">
        <v>35</v>
      </c>
      <c r="J95" s="1"/>
      <c r="K95" s="1"/>
      <c r="L95" s="8">
        <v>-45</v>
      </c>
      <c r="M95" s="15">
        <v>-15</v>
      </c>
      <c r="N95" s="8"/>
      <c r="O95" s="7"/>
      <c r="P95" s="7"/>
      <c r="Q95" s="7">
        <v>5</v>
      </c>
      <c r="R95" s="7">
        <v>5</v>
      </c>
      <c r="S95" s="1">
        <v>1410</v>
      </c>
      <c r="T95" s="1">
        <v>16</v>
      </c>
      <c r="U95" s="1"/>
    </row>
    <row r="96" spans="1:21" x14ac:dyDescent="0.25">
      <c r="A96" s="57" t="s">
        <v>560</v>
      </c>
      <c r="B96" s="87">
        <v>4</v>
      </c>
      <c r="C96" s="88"/>
      <c r="D96" s="89"/>
      <c r="E96" s="90"/>
      <c r="F96" s="91"/>
      <c r="G96" s="92"/>
      <c r="H96" s="93"/>
      <c r="I96" s="1">
        <v>4</v>
      </c>
      <c r="J96" s="1"/>
      <c r="K96" s="1"/>
      <c r="L96" s="8"/>
      <c r="M96" s="15"/>
      <c r="N96" s="8"/>
      <c r="O96" s="7"/>
      <c r="P96" s="7"/>
      <c r="Q96" s="7">
        <v>4</v>
      </c>
      <c r="R96" s="7">
        <v>4</v>
      </c>
      <c r="S96" s="1">
        <v>270</v>
      </c>
      <c r="T96" s="1">
        <v>6</v>
      </c>
      <c r="U96" s="1"/>
    </row>
    <row r="97" spans="1:21" x14ac:dyDescent="0.25">
      <c r="A97" s="57" t="s">
        <v>532</v>
      </c>
      <c r="B97" s="87">
        <v>35</v>
      </c>
      <c r="C97" s="88"/>
      <c r="D97" s="89"/>
      <c r="E97" s="90">
        <v>29</v>
      </c>
      <c r="F97" s="91">
        <v>29</v>
      </c>
      <c r="G97" s="92">
        <v>29</v>
      </c>
      <c r="H97" s="93"/>
      <c r="I97" s="1">
        <v>24</v>
      </c>
      <c r="J97" s="1"/>
      <c r="K97" s="1"/>
      <c r="L97" s="8"/>
      <c r="M97" s="15"/>
      <c r="N97" s="8">
        <v>-30</v>
      </c>
      <c r="O97" s="7"/>
      <c r="P97" s="7"/>
      <c r="Q97" s="7"/>
      <c r="R97" s="7">
        <v>20</v>
      </c>
      <c r="S97" s="1">
        <v>780</v>
      </c>
      <c r="T97" s="1">
        <v>12</v>
      </c>
      <c r="U97" s="1"/>
    </row>
    <row r="98" spans="1:21" x14ac:dyDescent="0.25">
      <c r="A98" s="57" t="s">
        <v>542</v>
      </c>
      <c r="B98" s="87">
        <v>16</v>
      </c>
      <c r="C98" s="65"/>
      <c r="D98" s="73"/>
      <c r="E98" s="69"/>
      <c r="F98" s="71"/>
      <c r="G98" s="66"/>
      <c r="H98" s="75"/>
      <c r="I98" s="1">
        <v>7</v>
      </c>
      <c r="J98" s="1"/>
      <c r="K98" s="1"/>
      <c r="L98" s="8"/>
      <c r="M98" s="15"/>
      <c r="N98" s="8"/>
      <c r="O98" s="8"/>
      <c r="P98" s="8"/>
      <c r="Q98" s="7">
        <v>5</v>
      </c>
      <c r="R98" s="7">
        <v>9</v>
      </c>
      <c r="S98" s="1">
        <v>600</v>
      </c>
      <c r="T98" s="1">
        <v>7</v>
      </c>
      <c r="U98" s="1"/>
    </row>
    <row r="99" spans="1:21" x14ac:dyDescent="0.25">
      <c r="A99" s="57" t="s">
        <v>533</v>
      </c>
      <c r="B99" s="87">
        <v>68</v>
      </c>
      <c r="C99" s="88"/>
      <c r="D99" s="89"/>
      <c r="E99" s="90"/>
      <c r="F99" s="91"/>
      <c r="G99" s="92">
        <v>80</v>
      </c>
      <c r="H99" s="93"/>
      <c r="I99" s="1">
        <v>49</v>
      </c>
      <c r="J99" s="1">
        <v>14</v>
      </c>
      <c r="K99" s="1"/>
      <c r="L99" s="8">
        <v>14</v>
      </c>
      <c r="M99" s="15">
        <v>29</v>
      </c>
      <c r="N99" s="8">
        <v>15</v>
      </c>
      <c r="O99" s="7"/>
      <c r="P99" s="7"/>
      <c r="Q99" s="7">
        <v>20</v>
      </c>
      <c r="R99" s="7"/>
      <c r="S99" s="1">
        <v>0</v>
      </c>
      <c r="T99" s="1">
        <v>53</v>
      </c>
      <c r="U99" s="1"/>
    </row>
    <row r="100" spans="1:21" x14ac:dyDescent="0.25">
      <c r="A100" s="89" t="s">
        <v>575</v>
      </c>
      <c r="B100" s="87"/>
      <c r="C100" s="88"/>
      <c r="D100" s="89"/>
      <c r="E100" s="90"/>
      <c r="F100" s="91"/>
      <c r="G100" s="92"/>
      <c r="H100" s="93"/>
      <c r="I100" s="1"/>
      <c r="J100" s="1"/>
      <c r="K100" s="1"/>
      <c r="L100" s="8"/>
      <c r="M100" s="15"/>
      <c r="N100" s="8"/>
      <c r="O100" s="7"/>
      <c r="P100" s="7"/>
      <c r="Q100" s="7"/>
      <c r="R100" s="7"/>
      <c r="S100" s="1"/>
      <c r="T100" s="1"/>
      <c r="U100" s="1"/>
    </row>
    <row r="101" spans="1:21" x14ac:dyDescent="0.25">
      <c r="A101" s="57" t="s">
        <v>534</v>
      </c>
      <c r="B101" s="87">
        <v>50</v>
      </c>
      <c r="C101" s="88"/>
      <c r="D101" s="89"/>
      <c r="E101" s="90"/>
      <c r="F101" s="91"/>
      <c r="G101" s="92"/>
      <c r="H101" s="93"/>
      <c r="I101" s="1">
        <v>36</v>
      </c>
      <c r="J101" s="1">
        <v>4</v>
      </c>
      <c r="K101" s="1"/>
      <c r="L101" s="8">
        <v>17</v>
      </c>
      <c r="M101" s="15">
        <v>7</v>
      </c>
      <c r="N101" s="8">
        <v>5</v>
      </c>
      <c r="O101" s="7"/>
      <c r="P101" s="7"/>
      <c r="Q101" s="7">
        <v>20</v>
      </c>
      <c r="R101" s="7"/>
      <c r="S101" s="1">
        <v>1020</v>
      </c>
      <c r="T101" s="1">
        <v>25</v>
      </c>
      <c r="U101" s="1"/>
    </row>
    <row r="102" spans="1:21" x14ac:dyDescent="0.25">
      <c r="A102" s="57" t="s">
        <v>535</v>
      </c>
      <c r="B102" s="87">
        <v>42</v>
      </c>
      <c r="C102" s="88"/>
      <c r="D102" s="89"/>
      <c r="E102" s="90"/>
      <c r="F102" s="91"/>
      <c r="G102" s="92"/>
      <c r="H102" s="93"/>
      <c r="I102" s="1">
        <v>36</v>
      </c>
      <c r="J102" s="1">
        <v>4</v>
      </c>
      <c r="K102" s="1"/>
      <c r="L102" s="8">
        <v>4</v>
      </c>
      <c r="M102" s="15">
        <v>5</v>
      </c>
      <c r="N102" s="8"/>
      <c r="O102" s="7"/>
      <c r="P102" s="7"/>
      <c r="Q102" s="7"/>
      <c r="R102" s="7"/>
      <c r="S102" s="1">
        <v>900</v>
      </c>
      <c r="T102" s="1">
        <v>25</v>
      </c>
      <c r="U102" s="1"/>
    </row>
    <row r="103" spans="1:21" x14ac:dyDescent="0.25">
      <c r="A103" s="57" t="s">
        <v>562</v>
      </c>
      <c r="B103" s="87">
        <v>24</v>
      </c>
      <c r="C103" s="88">
        <v>20</v>
      </c>
      <c r="D103" s="89">
        <v>20</v>
      </c>
      <c r="E103" s="90">
        <v>20</v>
      </c>
      <c r="F103" s="91">
        <v>20</v>
      </c>
      <c r="G103" s="92">
        <v>20</v>
      </c>
      <c r="H103" s="93"/>
      <c r="I103" s="1">
        <v>7</v>
      </c>
      <c r="J103" s="1">
        <v>1</v>
      </c>
      <c r="K103" s="1"/>
      <c r="L103" s="8"/>
      <c r="M103" s="15"/>
      <c r="N103" s="8">
        <v>-25</v>
      </c>
      <c r="O103" s="7"/>
      <c r="P103" s="7"/>
      <c r="Q103" s="7"/>
      <c r="R103" s="7">
        <v>9</v>
      </c>
      <c r="S103" s="1">
        <v>640</v>
      </c>
      <c r="T103" s="1">
        <v>5</v>
      </c>
      <c r="U103" s="1"/>
    </row>
    <row r="104" spans="1:21" x14ac:dyDescent="0.25">
      <c r="A104" s="57" t="s">
        <v>563</v>
      </c>
      <c r="B104" s="87">
        <v>68</v>
      </c>
      <c r="C104" s="88"/>
      <c r="D104" s="89"/>
      <c r="E104" s="90"/>
      <c r="F104" s="91"/>
      <c r="G104" s="92"/>
      <c r="H104" s="93"/>
      <c r="I104" s="1">
        <v>64</v>
      </c>
      <c r="J104" s="1">
        <v>7</v>
      </c>
      <c r="K104" s="1"/>
      <c r="L104" s="8">
        <v>8</v>
      </c>
      <c r="M104" s="15">
        <v>19</v>
      </c>
      <c r="N104" s="8">
        <v>50</v>
      </c>
      <c r="O104" s="7"/>
      <c r="P104" s="7"/>
      <c r="Q104" s="7">
        <v>-10</v>
      </c>
      <c r="R104" s="7"/>
      <c r="S104" s="1">
        <v>1440</v>
      </c>
      <c r="T104" s="1">
        <v>45</v>
      </c>
      <c r="U104" s="1"/>
    </row>
    <row r="105" spans="1:21" x14ac:dyDescent="0.25">
      <c r="A105" s="57" t="s">
        <v>556</v>
      </c>
      <c r="B105" s="87">
        <v>22</v>
      </c>
      <c r="C105" s="88"/>
      <c r="D105" s="89">
        <v>60</v>
      </c>
      <c r="E105" s="90"/>
      <c r="F105" s="91">
        <v>60</v>
      </c>
      <c r="G105" s="92">
        <v>60</v>
      </c>
      <c r="H105" s="93"/>
      <c r="I105" s="1">
        <v>8</v>
      </c>
      <c r="J105" s="1"/>
      <c r="K105" s="1"/>
      <c r="L105" s="8"/>
      <c r="M105" s="15"/>
      <c r="N105" s="8">
        <v>-20</v>
      </c>
      <c r="O105" s="7"/>
      <c r="P105" s="7"/>
      <c r="Q105" s="7"/>
      <c r="R105" s="7"/>
      <c r="S105" s="1">
        <v>840</v>
      </c>
      <c r="T105" s="1">
        <v>8</v>
      </c>
      <c r="U105" s="1"/>
    </row>
    <row r="106" spans="1:21" x14ac:dyDescent="0.25">
      <c r="A106" s="57" t="s">
        <v>536</v>
      </c>
      <c r="B106" s="87">
        <v>17</v>
      </c>
      <c r="C106" s="65"/>
      <c r="D106" s="73"/>
      <c r="E106" s="69"/>
      <c r="F106" s="71"/>
      <c r="G106" s="66"/>
      <c r="H106" s="75"/>
      <c r="I106" s="1">
        <v>42</v>
      </c>
      <c r="J106" s="1">
        <v>3</v>
      </c>
      <c r="K106" s="1"/>
      <c r="L106" s="8"/>
      <c r="M106" s="15"/>
      <c r="N106" s="8">
        <v>-30</v>
      </c>
      <c r="O106" s="8"/>
      <c r="P106" s="8"/>
      <c r="Q106" s="7"/>
      <c r="R106" s="7">
        <v>15</v>
      </c>
      <c r="S106" s="1">
        <v>675</v>
      </c>
      <c r="T106" s="1">
        <v>7</v>
      </c>
      <c r="U106" s="1"/>
    </row>
    <row r="107" spans="1:21" x14ac:dyDescent="0.25">
      <c r="A107" s="57" t="s">
        <v>537</v>
      </c>
      <c r="B107" s="87">
        <v>46</v>
      </c>
      <c r="C107" s="88"/>
      <c r="D107" s="89"/>
      <c r="E107" s="90"/>
      <c r="F107" s="91"/>
      <c r="G107" s="92"/>
      <c r="H107" s="93"/>
      <c r="I107" s="1">
        <v>32</v>
      </c>
      <c r="J107" s="1">
        <v>4</v>
      </c>
      <c r="K107" s="1"/>
      <c r="L107" s="8">
        <v>7</v>
      </c>
      <c r="M107" s="15">
        <v>7</v>
      </c>
      <c r="N107" s="8">
        <v>-15</v>
      </c>
      <c r="O107" s="7">
        <v>5</v>
      </c>
      <c r="P107" s="7"/>
      <c r="Q107" s="7"/>
      <c r="R107" s="7">
        <v>15</v>
      </c>
      <c r="S107" s="1">
        <v>900</v>
      </c>
      <c r="T107" s="1">
        <v>25</v>
      </c>
      <c r="U107" s="1"/>
    </row>
    <row r="108" spans="1:21" x14ac:dyDescent="0.25">
      <c r="A108" s="57" t="s">
        <v>538</v>
      </c>
      <c r="B108" s="87">
        <v>65</v>
      </c>
      <c r="C108" s="88">
        <v>60</v>
      </c>
      <c r="D108" s="89"/>
      <c r="E108" s="90"/>
      <c r="F108" s="91"/>
      <c r="G108" s="92"/>
      <c r="H108" s="93"/>
      <c r="I108" s="1">
        <v>44</v>
      </c>
      <c r="J108" s="1">
        <v>7</v>
      </c>
      <c r="K108" s="1"/>
      <c r="L108" s="8">
        <v>14</v>
      </c>
      <c r="M108" s="15">
        <v>9</v>
      </c>
      <c r="N108" s="8">
        <v>30</v>
      </c>
      <c r="O108" s="7"/>
      <c r="P108" s="7"/>
      <c r="Q108" s="7">
        <v>-12</v>
      </c>
      <c r="R108" s="7">
        <v>9</v>
      </c>
      <c r="S108" s="1">
        <v>1380</v>
      </c>
      <c r="T108" s="1">
        <v>32</v>
      </c>
      <c r="U108" s="1"/>
    </row>
    <row r="109" spans="1:21" x14ac:dyDescent="0.25">
      <c r="A109" s="98" t="s">
        <v>564</v>
      </c>
      <c r="B109" s="87">
        <v>5</v>
      </c>
      <c r="C109" s="88"/>
      <c r="D109" s="89"/>
      <c r="E109" s="90"/>
      <c r="F109" s="91"/>
      <c r="G109" s="92"/>
      <c r="H109" s="93"/>
      <c r="I109" s="1">
        <v>4</v>
      </c>
      <c r="J109" s="1"/>
      <c r="K109" s="1"/>
      <c r="L109" s="8"/>
      <c r="M109" s="15"/>
      <c r="N109" s="8"/>
      <c r="O109" s="7"/>
      <c r="P109" s="7"/>
      <c r="Q109" s="7">
        <v>1</v>
      </c>
      <c r="R109" s="7">
        <v>12</v>
      </c>
      <c r="S109" s="1">
        <v>270</v>
      </c>
      <c r="T109" s="1">
        <v>5</v>
      </c>
      <c r="U109" s="1"/>
    </row>
    <row r="110" spans="1:21" x14ac:dyDescent="0.25">
      <c r="A110" s="57" t="s">
        <v>539</v>
      </c>
      <c r="B110">
        <v>60</v>
      </c>
      <c r="C110" s="88"/>
      <c r="D110" s="89"/>
      <c r="E110" s="90"/>
      <c r="F110" s="91"/>
      <c r="G110" s="92"/>
      <c r="H110" s="93"/>
      <c r="I110">
        <v>43</v>
      </c>
      <c r="J110">
        <v>7</v>
      </c>
      <c r="L110" s="8">
        <v>22</v>
      </c>
      <c r="M110" s="15">
        <v>-21</v>
      </c>
      <c r="N110" s="8">
        <v>30</v>
      </c>
      <c r="O110" s="7"/>
      <c r="P110" s="7">
        <v>-10</v>
      </c>
      <c r="Q110">
        <v>32</v>
      </c>
      <c r="S110">
        <v>1680</v>
      </c>
      <c r="T110">
        <v>48</v>
      </c>
      <c r="U110" s="1"/>
    </row>
    <row r="116" spans="1:8" x14ac:dyDescent="0.25">
      <c r="H116" t="s">
        <v>140</v>
      </c>
    </row>
    <row r="117" spans="1:8" x14ac:dyDescent="0.25">
      <c r="A117" t="s">
        <v>139</v>
      </c>
    </row>
    <row r="119" spans="1:8" x14ac:dyDescent="0.25">
      <c r="A119" s="29" t="s">
        <v>89</v>
      </c>
      <c r="B119" s="28"/>
      <c r="C119" s="29" t="s">
        <v>92</v>
      </c>
      <c r="D119" s="29"/>
      <c r="E119" s="29"/>
    </row>
    <row r="120" spans="1:8" x14ac:dyDescent="0.25">
      <c r="A120" s="29" t="s">
        <v>90</v>
      </c>
      <c r="B120" s="15"/>
      <c r="C120" s="29" t="s">
        <v>144</v>
      </c>
      <c r="D120" s="29"/>
      <c r="E120" s="29"/>
    </row>
    <row r="121" spans="1:8" x14ac:dyDescent="0.25">
      <c r="A121" s="29" t="s">
        <v>91</v>
      </c>
      <c r="B121" s="28"/>
      <c r="C121" s="29" t="s">
        <v>93</v>
      </c>
      <c r="D121" s="29"/>
      <c r="E121" s="29"/>
    </row>
    <row r="122" spans="1:8" x14ac:dyDescent="0.25">
      <c r="A122" s="29"/>
      <c r="B122" s="29"/>
      <c r="C122" s="29"/>
      <c r="D122" s="29"/>
      <c r="E122" s="29"/>
    </row>
    <row r="126" spans="1:8" x14ac:dyDescent="0.25">
      <c r="B126" s="11" t="s">
        <v>3</v>
      </c>
    </row>
    <row r="128" spans="1:8" x14ac:dyDescent="0.25">
      <c r="A128" t="s">
        <v>145</v>
      </c>
    </row>
    <row r="129" spans="1:18" x14ac:dyDescent="0.25">
      <c r="A129" t="s">
        <v>108</v>
      </c>
    </row>
    <row r="130" spans="1:18" x14ac:dyDescent="0.25">
      <c r="A130" t="s">
        <v>95</v>
      </c>
      <c r="M130" t="s">
        <v>109</v>
      </c>
    </row>
    <row r="131" spans="1:18" x14ac:dyDescent="0.25">
      <c r="B131" t="s">
        <v>97</v>
      </c>
      <c r="N131" t="s">
        <v>112</v>
      </c>
    </row>
    <row r="132" spans="1:18" x14ac:dyDescent="0.25">
      <c r="C132" t="s">
        <v>98</v>
      </c>
      <c r="O132" t="s">
        <v>113</v>
      </c>
    </row>
    <row r="133" spans="1:18" x14ac:dyDescent="0.25">
      <c r="C133" t="s">
        <v>99</v>
      </c>
      <c r="O133" t="s">
        <v>115</v>
      </c>
    </row>
    <row r="134" spans="1:18" x14ac:dyDescent="0.25">
      <c r="C134" t="s">
        <v>100</v>
      </c>
      <c r="O134" t="s">
        <v>114</v>
      </c>
    </row>
    <row r="135" spans="1:18" x14ac:dyDescent="0.25">
      <c r="B135" t="s">
        <v>96</v>
      </c>
    </row>
    <row r="136" spans="1:18" x14ac:dyDescent="0.25">
      <c r="B136" t="s">
        <v>102</v>
      </c>
      <c r="N136" t="s">
        <v>111</v>
      </c>
    </row>
    <row r="137" spans="1:18" x14ac:dyDescent="0.25">
      <c r="B137" t="s">
        <v>97</v>
      </c>
      <c r="N137" t="s">
        <v>112</v>
      </c>
    </row>
    <row r="138" spans="1:18" x14ac:dyDescent="0.25">
      <c r="C138" t="s">
        <v>103</v>
      </c>
      <c r="O138" t="s">
        <v>116</v>
      </c>
    </row>
    <row r="139" spans="1:18" x14ac:dyDescent="0.25">
      <c r="C139" t="s">
        <v>105</v>
      </c>
      <c r="O139" t="s">
        <v>117</v>
      </c>
    </row>
    <row r="140" spans="1:18" x14ac:dyDescent="0.25">
      <c r="D140" t="s">
        <v>106</v>
      </c>
      <c r="P140" t="s">
        <v>118</v>
      </c>
      <c r="R140" t="s">
        <v>119</v>
      </c>
    </row>
    <row r="141" spans="1:18" x14ac:dyDescent="0.25">
      <c r="D141" t="s">
        <v>107</v>
      </c>
      <c r="P141" t="s">
        <v>120</v>
      </c>
    </row>
    <row r="142" spans="1:18" x14ac:dyDescent="0.25">
      <c r="D142">
        <v>0</v>
      </c>
      <c r="P142" t="s">
        <v>121</v>
      </c>
    </row>
    <row r="143" spans="1:18" x14ac:dyDescent="0.25">
      <c r="C143" t="s">
        <v>104</v>
      </c>
    </row>
    <row r="144" spans="1:18" x14ac:dyDescent="0.25">
      <c r="C144" t="s">
        <v>110</v>
      </c>
      <c r="O144" t="s">
        <v>122</v>
      </c>
    </row>
    <row r="145" spans="1:13" x14ac:dyDescent="0.25">
      <c r="B145" t="s">
        <v>96</v>
      </c>
    </row>
    <row r="146" spans="1:13" x14ac:dyDescent="0.25">
      <c r="B146" t="s">
        <v>101</v>
      </c>
      <c r="M146" t="s">
        <v>123</v>
      </c>
    </row>
    <row r="147" spans="1:13" x14ac:dyDescent="0.25">
      <c r="A147" t="s">
        <v>96</v>
      </c>
    </row>
    <row r="150" spans="1:13" x14ac:dyDescent="0.25">
      <c r="A150" t="s">
        <v>86</v>
      </c>
    </row>
    <row r="151" spans="1:13" x14ac:dyDescent="0.25">
      <c r="A151" t="s">
        <v>87</v>
      </c>
    </row>
    <row r="152" spans="1:13" x14ac:dyDescent="0.25">
      <c r="A152" t="s">
        <v>88</v>
      </c>
    </row>
  </sheetData>
  <phoneticPr fontId="24" type="noConversion"/>
  <conditionalFormatting sqref="O12:R36 O38:R39 O41:R47 O49:R51 O53:R54 O56:R66 O68:R76 O79:R81 O83:R86 O88:R93 O95:R100 O102:R106 O110:R110">
    <cfRule type="cellIs" dxfId="326" priority="21" operator="greaterThan">
      <formula>0</formula>
    </cfRule>
    <cfRule type="cellIs" dxfId="325" priority="22" operator="lessThan">
      <formula>0</formula>
    </cfRule>
  </conditionalFormatting>
  <conditionalFormatting sqref="Q12:Q36 Q38:Q39 Q41:Q47 Q49:Q51 Q53:Q54 Q56:Q66 Q68:Q76 Q79:Q81 Q83:Q86 Q88:Q93 Q95:Q100 Q102:Q106 Q110">
    <cfRule type="expression" dxfId="318" priority="9">
      <formula>MOD(ROW(), 2)=1</formula>
    </cfRule>
    <cfRule type="expression" dxfId="317" priority="10">
      <formula>MOD(ROW(), 2)=0</formula>
    </cfRule>
  </conditionalFormatting>
  <conditionalFormatting sqref="R12:R36 R38:R39 R41:R47 R49:R51 R53:R54 R56:R66 R68:R76 R79:R81 R83:R86 R88:R93 R95:R100 R102:R106 R110">
    <cfRule type="expression" dxfId="316" priority="7">
      <formula>MOD(ROW(), 2)=1</formula>
    </cfRule>
    <cfRule type="expression" dxfId="315" priority="8">
      <formula>MOD(ROW(), 2)=0</formula>
    </cfRule>
  </conditionalFormatting>
  <conditionalFormatting sqref="L12:L110">
    <cfRule type="expression" dxfId="8" priority="3">
      <formula>MOD(ROW(), 2)=1</formula>
    </cfRule>
    <cfRule type="expression" dxfId="7" priority="4">
      <formula>MOD(ROW(), 2)=0</formula>
    </cfRule>
  </conditionalFormatting>
  <conditionalFormatting sqref="N12:N110">
    <cfRule type="expression" dxfId="6" priority="1">
      <formula>MOD(ROW(), 2)=1</formula>
    </cfRule>
    <cfRule type="expression" dxfId="5" priority="2">
      <formula>MOD(ROW(), 2)=0</formula>
    </cfRule>
  </conditionalFormatting>
  <conditionalFormatting sqref="L12:N110">
    <cfRule type="cellIs" dxfId="4" priority="5" operator="greaterThan">
      <formula>0</formula>
    </cfRule>
    <cfRule type="cellIs" dxfId="3" priority="6" operator="lessThan">
      <formula>0</formula>
    </cfRule>
  </conditionalFormatting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260"/>
  <sheetViews>
    <sheetView zoomScaleNormal="100" workbookViewId="0">
      <selection activeCell="M2" sqref="M2:O101"/>
    </sheetView>
  </sheetViews>
  <sheetFormatPr defaultRowHeight="15" x14ac:dyDescent="0.25"/>
  <cols>
    <col min="1" max="1" width="11.42578125" style="50" customWidth="1"/>
    <col min="2" max="2" width="30.140625" style="54" customWidth="1"/>
    <col min="3" max="3" width="7.7109375" style="3" customWidth="1"/>
    <col min="4" max="4" width="4.7109375" style="3" customWidth="1"/>
    <col min="5" max="9" width="4.7109375" customWidth="1"/>
    <col min="10" max="10" width="8.140625" customWidth="1"/>
    <col min="11" max="11" width="9.7109375" customWidth="1"/>
    <col min="12" max="12" width="8.7109375" customWidth="1"/>
    <col min="16" max="16" width="9.140625" customWidth="1"/>
    <col min="17" max="17" width="9.28515625" customWidth="1"/>
    <col min="18" max="18" width="13.7109375" customWidth="1"/>
    <col min="20" max="20" width="9.28515625" customWidth="1"/>
    <col min="23" max="23" width="11.85546875" customWidth="1"/>
    <col min="25" max="25" width="14.85546875" customWidth="1"/>
    <col min="27" max="27" width="13.28515625" customWidth="1"/>
  </cols>
  <sheetData>
    <row r="1" spans="1:30" x14ac:dyDescent="0.25">
      <c r="A1" s="50" t="s">
        <v>0</v>
      </c>
      <c r="B1" s="54" t="s">
        <v>1</v>
      </c>
      <c r="C1" s="76" t="s">
        <v>130</v>
      </c>
      <c r="D1" s="76" t="s">
        <v>131</v>
      </c>
      <c r="E1" s="3" t="s">
        <v>132</v>
      </c>
      <c r="F1" s="76" t="s">
        <v>133</v>
      </c>
      <c r="G1" s="77" t="s">
        <v>134</v>
      </c>
      <c r="H1" s="76" t="s">
        <v>135</v>
      </c>
      <c r="I1" s="76" t="s">
        <v>472</v>
      </c>
      <c r="J1" s="3" t="s">
        <v>585</v>
      </c>
      <c r="K1" s="3" t="s">
        <v>586</v>
      </c>
      <c r="L1" s="3" t="s">
        <v>595</v>
      </c>
      <c r="M1" t="s">
        <v>587</v>
      </c>
      <c r="N1" t="s">
        <v>589</v>
      </c>
      <c r="O1" t="s">
        <v>588</v>
      </c>
      <c r="P1" t="s">
        <v>590</v>
      </c>
      <c r="Q1" t="s">
        <v>591</v>
      </c>
      <c r="R1" t="s">
        <v>468</v>
      </c>
      <c r="S1" s="3" t="s">
        <v>592</v>
      </c>
      <c r="T1" t="s">
        <v>593</v>
      </c>
      <c r="U1" t="s">
        <v>594</v>
      </c>
      <c r="V1" t="s">
        <v>136</v>
      </c>
      <c r="W1" t="s">
        <v>137</v>
      </c>
      <c r="X1" t="s">
        <v>138</v>
      </c>
      <c r="Y1" t="s">
        <v>4</v>
      </c>
      <c r="Z1" t="s">
        <v>470</v>
      </c>
      <c r="AA1" t="s">
        <v>85</v>
      </c>
    </row>
    <row r="2" spans="1:30" x14ac:dyDescent="0.25">
      <c r="A2" s="52">
        <v>3000020</v>
      </c>
      <c r="B2" s="55" t="s">
        <v>146</v>
      </c>
      <c r="C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22</v>
      </c>
      <c r="D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33</v>
      </c>
      <c r="I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22</v>
      </c>
      <c r="K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1</v>
      </c>
      <c r="L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2</v>
      </c>
      <c r="N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" s="49"/>
      <c r="S2" s="8">
        <v>5</v>
      </c>
      <c r="T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5</v>
      </c>
      <c r="V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275</v>
      </c>
      <c r="W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13</v>
      </c>
      <c r="X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345</v>
      </c>
      <c r="Y2" s="8"/>
      <c r="Z2" s="8"/>
      <c r="AA2" s="55" t="s">
        <v>491</v>
      </c>
      <c r="AB2" s="3"/>
    </row>
    <row r="3" spans="1:30" x14ac:dyDescent="0.25">
      <c r="A3" s="52">
        <v>3100130</v>
      </c>
      <c r="B3" s="55" t="s">
        <v>147</v>
      </c>
      <c r="C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20</v>
      </c>
      <c r="D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36</v>
      </c>
      <c r="H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32</v>
      </c>
      <c r="K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" s="49" t="s">
        <v>149</v>
      </c>
      <c r="S3" s="8"/>
      <c r="T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8</v>
      </c>
      <c r="V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275</v>
      </c>
      <c r="W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13</v>
      </c>
      <c r="X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" s="8"/>
      <c r="Z3" s="8"/>
      <c r="AA3" s="55" t="s">
        <v>492</v>
      </c>
      <c r="AB3" s="3"/>
    </row>
    <row r="4" spans="1:30" x14ac:dyDescent="0.25">
      <c r="A4" s="52">
        <v>3100250</v>
      </c>
      <c r="B4" s="56" t="s">
        <v>150</v>
      </c>
      <c r="C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19</v>
      </c>
      <c r="D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12</v>
      </c>
      <c r="K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5</v>
      </c>
      <c r="L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-3</v>
      </c>
      <c r="P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4" s="49" t="s">
        <v>151</v>
      </c>
      <c r="S4" s="8"/>
      <c r="T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12</v>
      </c>
      <c r="V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200</v>
      </c>
      <c r="W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" s="8"/>
      <c r="Z4" s="8"/>
      <c r="AA4" s="56" t="s">
        <v>540</v>
      </c>
      <c r="AB4" s="3"/>
    </row>
    <row r="5" spans="1:30" x14ac:dyDescent="0.25">
      <c r="A5" s="52">
        <v>3100250</v>
      </c>
      <c r="B5" s="55" t="s">
        <v>152</v>
      </c>
      <c r="C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10</v>
      </c>
      <c r="D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12</v>
      </c>
      <c r="E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12</v>
      </c>
      <c r="F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12</v>
      </c>
      <c r="G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12</v>
      </c>
      <c r="H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12</v>
      </c>
      <c r="I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4</v>
      </c>
      <c r="K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1</v>
      </c>
      <c r="L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-6</v>
      </c>
      <c r="P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3</v>
      </c>
      <c r="R5" s="49" t="s">
        <v>154</v>
      </c>
      <c r="S5" s="8"/>
      <c r="T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4</v>
      </c>
      <c r="V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125</v>
      </c>
      <c r="W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" s="8"/>
      <c r="Z5" s="8"/>
      <c r="AA5" s="94" t="s">
        <v>545</v>
      </c>
      <c r="AB5" s="3"/>
    </row>
    <row r="6" spans="1:30" x14ac:dyDescent="0.25">
      <c r="A6" s="52">
        <v>3000220</v>
      </c>
      <c r="B6" s="55" t="s">
        <v>155</v>
      </c>
      <c r="C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16</v>
      </c>
      <c r="D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42</v>
      </c>
      <c r="F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11</v>
      </c>
      <c r="K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" s="49"/>
      <c r="S6" s="8"/>
      <c r="T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11</v>
      </c>
      <c r="U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11</v>
      </c>
      <c r="V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200</v>
      </c>
      <c r="W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" s="8"/>
      <c r="Z6" s="8"/>
      <c r="AA6" s="55" t="s">
        <v>493</v>
      </c>
      <c r="AB6" s="3"/>
      <c r="AC6" s="29"/>
      <c r="AD6" s="29"/>
    </row>
    <row r="7" spans="1:30" x14ac:dyDescent="0.25">
      <c r="A7" s="52">
        <v>3100440</v>
      </c>
      <c r="B7" s="56" t="s">
        <v>156</v>
      </c>
      <c r="C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19</v>
      </c>
      <c r="D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19</v>
      </c>
      <c r="K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8</v>
      </c>
      <c r="M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" s="49"/>
      <c r="S7" s="8"/>
      <c r="T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6</v>
      </c>
      <c r="U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600</v>
      </c>
      <c r="W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" s="8"/>
      <c r="Z7" s="8"/>
      <c r="AA7" s="56" t="s">
        <v>494</v>
      </c>
      <c r="AB7" s="3"/>
      <c r="AC7" s="29"/>
      <c r="AD7" s="29"/>
    </row>
    <row r="8" spans="1:30" x14ac:dyDescent="0.25">
      <c r="A8" s="52">
        <v>3000181</v>
      </c>
      <c r="B8" s="55" t="s">
        <v>159</v>
      </c>
      <c r="C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26</v>
      </c>
      <c r="D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30</v>
      </c>
      <c r="H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23</v>
      </c>
      <c r="K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8" s="49"/>
      <c r="S8" s="8"/>
      <c r="T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19</v>
      </c>
      <c r="V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450</v>
      </c>
      <c r="W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" s="8"/>
      <c r="Z8" s="8"/>
      <c r="AA8" s="55" t="s">
        <v>495</v>
      </c>
      <c r="AB8" s="3"/>
      <c r="AC8" s="29"/>
      <c r="AD8" s="29"/>
    </row>
    <row r="9" spans="1:30" x14ac:dyDescent="0.25">
      <c r="A9" s="52">
        <v>3100093</v>
      </c>
      <c r="B9" s="55" t="s">
        <v>160</v>
      </c>
      <c r="C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33</v>
      </c>
      <c r="D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25</v>
      </c>
      <c r="K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7</v>
      </c>
      <c r="O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10</v>
      </c>
      <c r="P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" s="49"/>
      <c r="S9" s="8"/>
      <c r="T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-6</v>
      </c>
      <c r="U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8</v>
      </c>
      <c r="V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325</v>
      </c>
      <c r="W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29</v>
      </c>
      <c r="X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" s="8"/>
      <c r="Z9" s="8"/>
      <c r="AA9" s="55" t="s">
        <v>496</v>
      </c>
      <c r="AB9" s="3"/>
      <c r="AC9" s="29"/>
      <c r="AD9" s="29"/>
    </row>
    <row r="10" spans="1:30" x14ac:dyDescent="0.25">
      <c r="A10" s="52">
        <v>3100080</v>
      </c>
      <c r="B10" s="55" t="s">
        <v>162</v>
      </c>
      <c r="C1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29</v>
      </c>
      <c r="D1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12</v>
      </c>
      <c r="E1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12</v>
      </c>
      <c r="F1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12</v>
      </c>
      <c r="G1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12</v>
      </c>
      <c r="H1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12</v>
      </c>
      <c r="I1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25</v>
      </c>
      <c r="K1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1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1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7</v>
      </c>
      <c r="O1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3</v>
      </c>
      <c r="P1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0" s="49"/>
      <c r="S10" s="8"/>
      <c r="T1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-4</v>
      </c>
      <c r="U1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1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350</v>
      </c>
      <c r="W1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20</v>
      </c>
      <c r="X1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0" s="8"/>
      <c r="Z10" s="8"/>
      <c r="AA10" s="98" t="s">
        <v>497</v>
      </c>
      <c r="AB10" s="3"/>
      <c r="AC10" s="29"/>
      <c r="AD10" s="29"/>
    </row>
    <row r="11" spans="1:30" x14ac:dyDescent="0.25">
      <c r="A11" s="52">
        <v>3000035</v>
      </c>
      <c r="B11" s="55" t="s">
        <v>163</v>
      </c>
      <c r="C1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15</v>
      </c>
      <c r="D1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1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7</v>
      </c>
      <c r="K1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1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1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1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1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1" s="49"/>
      <c r="S11" s="8">
        <v>3</v>
      </c>
      <c r="T1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1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4</v>
      </c>
      <c r="V1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1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1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1" s="8"/>
      <c r="Z11" s="8"/>
      <c r="AA11" s="98" t="s">
        <v>163</v>
      </c>
      <c r="AB11" s="3"/>
      <c r="AC11" s="29"/>
      <c r="AD11" s="29"/>
    </row>
    <row r="12" spans="1:30" x14ac:dyDescent="0.25">
      <c r="A12" s="52">
        <v>3100270</v>
      </c>
      <c r="B12" s="56" t="s">
        <v>166</v>
      </c>
      <c r="C1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41</v>
      </c>
      <c r="D1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12</v>
      </c>
      <c r="E1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12</v>
      </c>
      <c r="F1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1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29</v>
      </c>
      <c r="K1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1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6</v>
      </c>
      <c r="N1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-10</v>
      </c>
      <c r="O1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8</v>
      </c>
      <c r="P1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2" s="49"/>
      <c r="S12" s="8"/>
      <c r="T1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1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1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425</v>
      </c>
      <c r="W1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27</v>
      </c>
      <c r="X1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2" s="8"/>
      <c r="Z12" s="8"/>
      <c r="AA12" s="94" t="s">
        <v>543</v>
      </c>
      <c r="AB12" s="3"/>
      <c r="AC12" s="29"/>
      <c r="AD12" s="29"/>
    </row>
    <row r="13" spans="1:30" x14ac:dyDescent="0.25">
      <c r="A13" s="52">
        <v>3100450</v>
      </c>
      <c r="B13" s="56" t="s">
        <v>168</v>
      </c>
      <c r="C1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26</v>
      </c>
      <c r="D1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17</v>
      </c>
      <c r="G1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17</v>
      </c>
      <c r="H1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23</v>
      </c>
      <c r="K1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5</v>
      </c>
      <c r="L1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1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1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2</v>
      </c>
      <c r="P1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3" s="49"/>
      <c r="S13" s="8"/>
      <c r="T1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1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1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350</v>
      </c>
      <c r="W1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1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3" s="8" t="s">
        <v>170</v>
      </c>
      <c r="Z13" s="8"/>
      <c r="AA13" s="56" t="s">
        <v>498</v>
      </c>
      <c r="AB13" s="3"/>
      <c r="AC13" s="29"/>
      <c r="AD13" s="29"/>
    </row>
    <row r="14" spans="1:30" x14ac:dyDescent="0.25">
      <c r="A14" s="52">
        <v>3100040</v>
      </c>
      <c r="B14" s="55" t="s">
        <v>171</v>
      </c>
      <c r="C1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41</v>
      </c>
      <c r="D1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36</v>
      </c>
      <c r="G1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36</v>
      </c>
      <c r="I1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29</v>
      </c>
      <c r="K1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1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1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7</v>
      </c>
      <c r="O1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1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7</v>
      </c>
      <c r="Q1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4" s="49"/>
      <c r="S14" s="8"/>
      <c r="T1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-5</v>
      </c>
      <c r="U1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5</v>
      </c>
      <c r="V1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525</v>
      </c>
      <c r="W1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27</v>
      </c>
      <c r="X1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4" s="8"/>
      <c r="Z14" s="8"/>
      <c r="AA14" s="55" t="s">
        <v>499</v>
      </c>
      <c r="AB14" s="3"/>
      <c r="AC14" s="29"/>
      <c r="AD14" s="29"/>
    </row>
    <row r="15" spans="1:30" x14ac:dyDescent="0.25">
      <c r="A15" s="52">
        <v>3100400</v>
      </c>
      <c r="B15" s="56" t="s">
        <v>172</v>
      </c>
      <c r="C1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29</v>
      </c>
      <c r="D1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1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25</v>
      </c>
      <c r="K1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8</v>
      </c>
      <c r="L1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5</v>
      </c>
      <c r="M1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1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5</v>
      </c>
      <c r="O1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1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5" s="49"/>
      <c r="S15" s="8"/>
      <c r="T1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4</v>
      </c>
      <c r="U1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1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450</v>
      </c>
      <c r="W1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30</v>
      </c>
      <c r="X1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5" s="8"/>
      <c r="Z15" s="8"/>
      <c r="AA15" s="56" t="s">
        <v>500</v>
      </c>
      <c r="AB15" s="3"/>
      <c r="AC15" s="29"/>
      <c r="AD15" s="29"/>
    </row>
    <row r="16" spans="1:30" x14ac:dyDescent="0.25">
      <c r="A16" s="52">
        <v>3000201</v>
      </c>
      <c r="B16" s="55" t="s">
        <v>173</v>
      </c>
      <c r="C1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0</v>
      </c>
      <c r="D1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1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0</v>
      </c>
      <c r="K1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1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1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1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1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6" s="49"/>
      <c r="S16" s="8"/>
      <c r="T1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1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1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1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0</v>
      </c>
      <c r="X1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6" s="8"/>
      <c r="Z16" s="8"/>
      <c r="AA16" s="95" t="s">
        <v>173</v>
      </c>
      <c r="AB16" s="3"/>
      <c r="AC16" s="29"/>
      <c r="AD16" s="29"/>
    </row>
    <row r="17" spans="1:30" x14ac:dyDescent="0.25">
      <c r="A17" s="52">
        <v>3000270</v>
      </c>
      <c r="B17" s="55" t="s">
        <v>174</v>
      </c>
      <c r="C1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12</v>
      </c>
      <c r="D1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1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6</v>
      </c>
      <c r="K1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1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1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1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-8</v>
      </c>
      <c r="P1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7" s="49"/>
      <c r="S17" s="8"/>
      <c r="T1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6</v>
      </c>
      <c r="U1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1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1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1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300</v>
      </c>
      <c r="Y17" s="8"/>
      <c r="Z17" s="8"/>
      <c r="AA17" s="96" t="s">
        <v>584</v>
      </c>
      <c r="AB17" s="3"/>
      <c r="AC17" s="29"/>
      <c r="AD17" s="29"/>
    </row>
    <row r="18" spans="1:30" ht="30" x14ac:dyDescent="0.25">
      <c r="A18" s="52">
        <v>3000350</v>
      </c>
      <c r="B18" s="57" t="s">
        <v>234</v>
      </c>
      <c r="C1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12</v>
      </c>
      <c r="D1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1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6</v>
      </c>
      <c r="K1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1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1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1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-8</v>
      </c>
      <c r="P1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8" s="49" t="s">
        <v>475</v>
      </c>
      <c r="S18" s="8"/>
      <c r="T1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6</v>
      </c>
      <c r="U1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1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1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1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300</v>
      </c>
      <c r="Y18" s="8"/>
      <c r="Z18" s="8"/>
      <c r="AA18" s="96" t="s">
        <v>584</v>
      </c>
      <c r="AB18" s="3"/>
      <c r="AC18" s="29"/>
      <c r="AD18" s="29"/>
    </row>
    <row r="19" spans="1:30" x14ac:dyDescent="0.25">
      <c r="A19" s="52">
        <v>3000220</v>
      </c>
      <c r="B19" s="55" t="s">
        <v>157</v>
      </c>
      <c r="C1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0</v>
      </c>
      <c r="D1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1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0</v>
      </c>
      <c r="K1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1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1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1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1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9" s="49"/>
      <c r="S19" s="8"/>
      <c r="T1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1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1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1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0</v>
      </c>
      <c r="X1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9" s="8"/>
      <c r="Z19" s="8"/>
      <c r="AA19" s="94" t="s">
        <v>565</v>
      </c>
      <c r="AB19" s="3"/>
      <c r="AC19" s="29"/>
      <c r="AD19" s="29"/>
    </row>
    <row r="20" spans="1:30" x14ac:dyDescent="0.25">
      <c r="A20" s="52">
        <v>3000005</v>
      </c>
      <c r="B20" s="57" t="s">
        <v>179</v>
      </c>
      <c r="C2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0</v>
      </c>
      <c r="D2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0</v>
      </c>
      <c r="K2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2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2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2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2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0" s="49"/>
      <c r="S20" s="8"/>
      <c r="T2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2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2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2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0</v>
      </c>
      <c r="X2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0" s="8"/>
      <c r="Z20" s="8"/>
      <c r="AA20" s="98" t="s">
        <v>565</v>
      </c>
      <c r="AB20" s="3"/>
      <c r="AC20" s="29"/>
      <c r="AD20" s="29"/>
    </row>
    <row r="21" spans="1:30" x14ac:dyDescent="0.25">
      <c r="A21" s="52">
        <v>3000007</v>
      </c>
      <c r="B21" s="57" t="s">
        <v>181</v>
      </c>
      <c r="C2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0</v>
      </c>
      <c r="D2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0</v>
      </c>
      <c r="K2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2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2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2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2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1" s="49"/>
      <c r="S21" s="8"/>
      <c r="T2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2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2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2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0</v>
      </c>
      <c r="X2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1" s="8"/>
      <c r="Z21" s="8"/>
      <c r="AA21" s="98" t="s">
        <v>565</v>
      </c>
      <c r="AB21" s="3"/>
      <c r="AC21" s="29"/>
      <c r="AD21" s="29"/>
    </row>
    <row r="22" spans="1:30" x14ac:dyDescent="0.25">
      <c r="A22" s="52">
        <v>3000006</v>
      </c>
      <c r="B22" s="57" t="s">
        <v>192</v>
      </c>
      <c r="C2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0</v>
      </c>
      <c r="D2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0</v>
      </c>
      <c r="K2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2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2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2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2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2" s="49"/>
      <c r="S22" s="8"/>
      <c r="T2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2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2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2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0</v>
      </c>
      <c r="X2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2" s="8"/>
      <c r="Z22" s="8"/>
      <c r="AA22" s="98" t="s">
        <v>565</v>
      </c>
      <c r="AB22" s="3"/>
      <c r="AC22" s="29"/>
      <c r="AD22" s="29"/>
    </row>
    <row r="23" spans="1:30" x14ac:dyDescent="0.25">
      <c r="A23" s="52">
        <v>3000008</v>
      </c>
      <c r="B23" s="57" t="s">
        <v>194</v>
      </c>
      <c r="C2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0</v>
      </c>
      <c r="D2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0</v>
      </c>
      <c r="K2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2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2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2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2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3" s="49"/>
      <c r="S23" s="8"/>
      <c r="T2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2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2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2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0</v>
      </c>
      <c r="X2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3" s="8"/>
      <c r="Z23" s="8"/>
      <c r="AA23" s="98" t="s">
        <v>565</v>
      </c>
      <c r="AB23" s="3"/>
      <c r="AC23" s="29"/>
      <c r="AD23" s="29"/>
    </row>
    <row r="24" spans="1:30" x14ac:dyDescent="0.25">
      <c r="A24" s="52">
        <v>3000009</v>
      </c>
      <c r="B24" s="57" t="s">
        <v>250</v>
      </c>
      <c r="C2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0</v>
      </c>
      <c r="D2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0</v>
      </c>
      <c r="K2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2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2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2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2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4" s="49"/>
      <c r="S24" s="8"/>
      <c r="T2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2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2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2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0</v>
      </c>
      <c r="X2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4" s="8"/>
      <c r="Z24" s="8"/>
      <c r="AA24" s="98" t="s">
        <v>565</v>
      </c>
      <c r="AB24" s="3"/>
      <c r="AC24" s="29"/>
      <c r="AD24" s="29"/>
    </row>
    <row r="25" spans="1:30" x14ac:dyDescent="0.25">
      <c r="A25" s="52">
        <v>3000160</v>
      </c>
      <c r="B25" s="55" t="s">
        <v>175</v>
      </c>
      <c r="C2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17</v>
      </c>
      <c r="D2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36</v>
      </c>
      <c r="E2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24</v>
      </c>
      <c r="G2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12</v>
      </c>
      <c r="K2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2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2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2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2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5" s="49"/>
      <c r="S25" s="8"/>
      <c r="T2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2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2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200</v>
      </c>
      <c r="W2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13</v>
      </c>
      <c r="X2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5" s="8"/>
      <c r="Z25" s="8"/>
      <c r="AA25" s="55" t="s">
        <v>501</v>
      </c>
      <c r="AB25" s="3"/>
      <c r="AC25" s="29"/>
      <c r="AD25" s="29"/>
    </row>
    <row r="26" spans="1:30" x14ac:dyDescent="0.25">
      <c r="A26" s="52">
        <v>3100090</v>
      </c>
      <c r="B26" s="57" t="s">
        <v>177</v>
      </c>
      <c r="C2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35</v>
      </c>
      <c r="D2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54</v>
      </c>
      <c r="H2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29</v>
      </c>
      <c r="K2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2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2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7</v>
      </c>
      <c r="O2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5</v>
      </c>
      <c r="P2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6" s="49" t="s">
        <v>178</v>
      </c>
      <c r="S26" s="8"/>
      <c r="T2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-6</v>
      </c>
      <c r="U2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11</v>
      </c>
      <c r="V2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525</v>
      </c>
      <c r="W2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31</v>
      </c>
      <c r="X2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6" s="8"/>
      <c r="Z26" s="8"/>
      <c r="AA26" s="98" t="s">
        <v>502</v>
      </c>
      <c r="AB26" s="3"/>
      <c r="AC26" s="29"/>
      <c r="AD26" s="29"/>
    </row>
    <row r="27" spans="1:30" x14ac:dyDescent="0.25">
      <c r="A27" s="52">
        <v>3000181</v>
      </c>
      <c r="B27" s="55" t="s">
        <v>158</v>
      </c>
      <c r="C2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</v>
      </c>
      <c r="D2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5</v>
      </c>
      <c r="K2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2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-19</v>
      </c>
      <c r="N2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2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2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7" s="49"/>
      <c r="S27" s="8"/>
      <c r="T2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10</v>
      </c>
      <c r="U2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2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2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2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7" s="8"/>
      <c r="Z27" s="8"/>
      <c r="AA27" s="94" t="s">
        <v>544</v>
      </c>
      <c r="AB27" s="3"/>
      <c r="AC27" s="29"/>
      <c r="AD27" s="29"/>
    </row>
    <row r="28" spans="1:30" x14ac:dyDescent="0.25">
      <c r="A28" s="52">
        <v>3000182</v>
      </c>
      <c r="B28" s="57" t="s">
        <v>176</v>
      </c>
      <c r="C2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</v>
      </c>
      <c r="D2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5</v>
      </c>
      <c r="K2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2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-19</v>
      </c>
      <c r="N2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2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2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8" s="49"/>
      <c r="S28" s="8"/>
      <c r="T2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10</v>
      </c>
      <c r="U2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2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2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2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8" s="8"/>
      <c r="Z28" s="8"/>
      <c r="AA28" s="94" t="s">
        <v>544</v>
      </c>
      <c r="AB28" s="3"/>
      <c r="AC28" s="29"/>
      <c r="AD28" s="29"/>
    </row>
    <row r="29" spans="1:30" x14ac:dyDescent="0.25">
      <c r="A29" s="52">
        <v>3000180</v>
      </c>
      <c r="B29" s="57" t="s">
        <v>231</v>
      </c>
      <c r="C2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</v>
      </c>
      <c r="D2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2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2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2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2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2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2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5</v>
      </c>
      <c r="K2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2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2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-19</v>
      </c>
      <c r="N2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2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2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2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29" s="49"/>
      <c r="S29" s="8"/>
      <c r="T2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10</v>
      </c>
      <c r="U2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2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2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2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29" s="8"/>
      <c r="Z29" s="8"/>
      <c r="AA29" s="94" t="s">
        <v>544</v>
      </c>
      <c r="AB29" s="3"/>
      <c r="AC29" s="29"/>
      <c r="AD29" s="29"/>
    </row>
    <row r="30" spans="1:30" x14ac:dyDescent="0.25">
      <c r="A30" s="52">
        <v>3000200</v>
      </c>
      <c r="B30" s="57" t="s">
        <v>184</v>
      </c>
      <c r="C3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14</v>
      </c>
      <c r="D3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3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3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10</v>
      </c>
      <c r="K3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3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3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-5</v>
      </c>
      <c r="O3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3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0" s="49"/>
      <c r="S30" s="8"/>
      <c r="T3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16</v>
      </c>
      <c r="U3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3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3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6</v>
      </c>
      <c r="X3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0" s="8"/>
      <c r="Z30" s="8"/>
      <c r="AA30" s="98" t="s">
        <v>94</v>
      </c>
      <c r="AB30" s="3"/>
      <c r="AC30" s="29"/>
      <c r="AD30" s="29"/>
    </row>
    <row r="31" spans="1:30" x14ac:dyDescent="0.25">
      <c r="A31" s="52">
        <v>3000202</v>
      </c>
      <c r="B31" s="57" t="s">
        <v>185</v>
      </c>
      <c r="C3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20</v>
      </c>
      <c r="D3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3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3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14</v>
      </c>
      <c r="K3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3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-7</v>
      </c>
      <c r="N3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3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1</v>
      </c>
      <c r="P3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1" s="49"/>
      <c r="S31" s="8"/>
      <c r="T3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10</v>
      </c>
      <c r="U3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3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200</v>
      </c>
      <c r="W3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7</v>
      </c>
      <c r="X3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1" s="8"/>
      <c r="Z31" s="8"/>
      <c r="AA31" s="98" t="s">
        <v>566</v>
      </c>
      <c r="AB31" s="3"/>
      <c r="AC31" s="29"/>
      <c r="AD31" s="29"/>
    </row>
    <row r="32" spans="1:30" x14ac:dyDescent="0.25">
      <c r="A32" s="52">
        <v>3100000</v>
      </c>
      <c r="B32" s="57" t="s">
        <v>186</v>
      </c>
      <c r="C3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37</v>
      </c>
      <c r="D3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3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3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26</v>
      </c>
      <c r="K3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3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3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7</v>
      </c>
      <c r="O3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13</v>
      </c>
      <c r="P3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2" s="49"/>
      <c r="S32" s="8">
        <v>4</v>
      </c>
      <c r="T3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-4</v>
      </c>
      <c r="U3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3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425</v>
      </c>
      <c r="W3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31</v>
      </c>
      <c r="X3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2" s="8"/>
      <c r="Z32" s="8"/>
      <c r="AA32" s="57" t="s">
        <v>503</v>
      </c>
      <c r="AB32" s="3"/>
      <c r="AC32" s="29"/>
      <c r="AD32" s="29"/>
    </row>
    <row r="33" spans="1:30" x14ac:dyDescent="0.25">
      <c r="A33" s="52">
        <v>3000112</v>
      </c>
      <c r="B33" s="57" t="s">
        <v>187</v>
      </c>
      <c r="C3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27</v>
      </c>
      <c r="D3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36</v>
      </c>
      <c r="F3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36</v>
      </c>
      <c r="G3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3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20</v>
      </c>
      <c r="K3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3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-5</v>
      </c>
      <c r="N3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-8</v>
      </c>
      <c r="O3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3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3" s="49"/>
      <c r="S33" s="8"/>
      <c r="T3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12</v>
      </c>
      <c r="U3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3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250</v>
      </c>
      <c r="W3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8</v>
      </c>
      <c r="X3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3" s="8"/>
      <c r="Z33" s="8"/>
      <c r="AA33" s="57" t="s">
        <v>504</v>
      </c>
      <c r="AB33" s="3"/>
      <c r="AC33" s="29"/>
      <c r="AD33" s="29"/>
    </row>
    <row r="34" spans="1:30" x14ac:dyDescent="0.25">
      <c r="A34" s="52">
        <v>3000091</v>
      </c>
      <c r="B34" s="57" t="s">
        <v>232</v>
      </c>
      <c r="C3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4</v>
      </c>
      <c r="D3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3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3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3</v>
      </c>
      <c r="K3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3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-5</v>
      </c>
      <c r="N3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3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3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4" s="49"/>
      <c r="S34" s="8"/>
      <c r="T3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6</v>
      </c>
      <c r="U3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3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3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3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4" s="8"/>
      <c r="Z34" s="8"/>
      <c r="AA34" s="57" t="s">
        <v>553</v>
      </c>
      <c r="AB34" s="3"/>
      <c r="AC34" s="29"/>
      <c r="AD34" s="29"/>
    </row>
    <row r="35" spans="1:30" x14ac:dyDescent="0.25">
      <c r="A35" s="52">
        <v>3000090</v>
      </c>
      <c r="B35" s="57" t="s">
        <v>236</v>
      </c>
      <c r="C3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4</v>
      </c>
      <c r="D3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3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3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3</v>
      </c>
      <c r="K3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3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-5</v>
      </c>
      <c r="N3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3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3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5" s="49"/>
      <c r="S35" s="8"/>
      <c r="T3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6</v>
      </c>
      <c r="U3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3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3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3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5" s="8"/>
      <c r="Z35" s="8"/>
      <c r="AA35" s="57" t="s">
        <v>553</v>
      </c>
      <c r="AB35" s="3"/>
      <c r="AC35" s="29"/>
      <c r="AD35" s="29"/>
    </row>
    <row r="36" spans="1:30" x14ac:dyDescent="0.25">
      <c r="A36" s="52">
        <v>3000240</v>
      </c>
      <c r="B36" s="57" t="s">
        <v>188</v>
      </c>
      <c r="C3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14</v>
      </c>
      <c r="D3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3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24</v>
      </c>
      <c r="H3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12</v>
      </c>
      <c r="K3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3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3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3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3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6" s="49"/>
      <c r="S36" s="8"/>
      <c r="T3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3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16</v>
      </c>
      <c r="V3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3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3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6" s="8"/>
      <c r="Z36" s="8"/>
      <c r="AA36" s="57" t="s">
        <v>505</v>
      </c>
      <c r="AB36" s="3"/>
      <c r="AC36" s="29"/>
      <c r="AD36" s="29"/>
    </row>
    <row r="37" spans="1:30" x14ac:dyDescent="0.25">
      <c r="A37" s="52">
        <v>3000210</v>
      </c>
      <c r="B37" s="57" t="s">
        <v>190</v>
      </c>
      <c r="C3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16</v>
      </c>
      <c r="D3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54</v>
      </c>
      <c r="G3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3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24</v>
      </c>
      <c r="I3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11</v>
      </c>
      <c r="K3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3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3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3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-15</v>
      </c>
      <c r="P3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7" s="49"/>
      <c r="S37" s="8"/>
      <c r="T3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3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3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375</v>
      </c>
      <c r="W3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6</v>
      </c>
      <c r="X3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7" s="8"/>
      <c r="Z37" s="8"/>
      <c r="AA37" s="57" t="s">
        <v>506</v>
      </c>
      <c r="AB37" s="3"/>
      <c r="AC37" s="29"/>
      <c r="AD37" s="29"/>
    </row>
    <row r="38" spans="1:30" x14ac:dyDescent="0.25">
      <c r="A38" s="52">
        <v>3000310</v>
      </c>
      <c r="B38" s="57" t="s">
        <v>193</v>
      </c>
      <c r="C3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23</v>
      </c>
      <c r="D3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36</v>
      </c>
      <c r="E3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24</v>
      </c>
      <c r="G3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3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19</v>
      </c>
      <c r="K3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3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3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3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3</v>
      </c>
      <c r="P3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8" s="49"/>
      <c r="S38" s="8"/>
      <c r="T3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3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3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375</v>
      </c>
      <c r="W3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13</v>
      </c>
      <c r="X3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8" s="8"/>
      <c r="Z38" s="8"/>
      <c r="AA38" s="98" t="s">
        <v>507</v>
      </c>
      <c r="AB38" s="3"/>
      <c r="AC38" s="29"/>
      <c r="AD38" s="29"/>
    </row>
    <row r="39" spans="1:30" x14ac:dyDescent="0.25">
      <c r="A39" s="52">
        <v>3100006</v>
      </c>
      <c r="B39" s="57" t="s">
        <v>196</v>
      </c>
      <c r="C3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19</v>
      </c>
      <c r="D3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3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3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3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3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3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3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15</v>
      </c>
      <c r="K3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3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3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2</v>
      </c>
      <c r="N3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3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5</v>
      </c>
      <c r="P3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3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39" s="49"/>
      <c r="S39" s="8"/>
      <c r="T3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3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3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225</v>
      </c>
      <c r="W3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3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39" s="8"/>
      <c r="Z39" s="8"/>
      <c r="AA39" s="57" t="s">
        <v>508</v>
      </c>
      <c r="AB39" s="3"/>
      <c r="AC39" s="29"/>
      <c r="AD39" s="29"/>
    </row>
    <row r="40" spans="1:30" x14ac:dyDescent="0.25">
      <c r="A40" s="52">
        <v>3100230</v>
      </c>
      <c r="B40" s="57" t="s">
        <v>197</v>
      </c>
      <c r="C4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41</v>
      </c>
      <c r="D4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-9</v>
      </c>
      <c r="G4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29</v>
      </c>
      <c r="K4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4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4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7</v>
      </c>
      <c r="O4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8</v>
      </c>
      <c r="P4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-5</v>
      </c>
      <c r="Q4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40" s="49" t="s">
        <v>153</v>
      </c>
      <c r="S40" s="8"/>
      <c r="T4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4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4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425</v>
      </c>
      <c r="W4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27</v>
      </c>
      <c r="X4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0" s="8"/>
      <c r="Z40" s="8"/>
      <c r="AA40" s="57" t="s">
        <v>509</v>
      </c>
      <c r="AB40" s="3"/>
      <c r="AC40" s="29"/>
      <c r="AD40" s="29"/>
    </row>
    <row r="41" spans="1:30" x14ac:dyDescent="0.25">
      <c r="A41" s="52">
        <v>3000044</v>
      </c>
      <c r="B41" s="57" t="s">
        <v>198</v>
      </c>
      <c r="C4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14</v>
      </c>
      <c r="D4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24</v>
      </c>
      <c r="F4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-24</v>
      </c>
      <c r="G4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6</v>
      </c>
      <c r="K4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4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4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4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-8</v>
      </c>
      <c r="P4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41" s="49"/>
      <c r="S41" s="8"/>
      <c r="T4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4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4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4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4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1" s="8"/>
      <c r="Z41" s="8"/>
      <c r="AA41" s="57" t="s">
        <v>546</v>
      </c>
      <c r="AB41" s="3"/>
      <c r="AC41" s="29"/>
      <c r="AD41" s="29"/>
    </row>
    <row r="42" spans="1:30" ht="30" x14ac:dyDescent="0.25">
      <c r="A42" s="52">
        <v>3000040</v>
      </c>
      <c r="B42" s="57" t="s">
        <v>199</v>
      </c>
      <c r="C4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19</v>
      </c>
      <c r="D4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4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11</v>
      </c>
      <c r="K4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4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4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4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-14</v>
      </c>
      <c r="P4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42" s="49" t="s">
        <v>474</v>
      </c>
      <c r="S42" s="8"/>
      <c r="T4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4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4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300</v>
      </c>
      <c r="W4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6</v>
      </c>
      <c r="X4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2" s="8"/>
      <c r="Z42" s="8"/>
      <c r="AA42" s="57" t="s">
        <v>547</v>
      </c>
      <c r="AB42" s="3"/>
      <c r="AC42" s="29"/>
      <c r="AD42" s="29"/>
    </row>
    <row r="43" spans="1:30" x14ac:dyDescent="0.25">
      <c r="A43" s="52">
        <v>3100110</v>
      </c>
      <c r="B43" s="57" t="s">
        <v>201</v>
      </c>
      <c r="C4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25</v>
      </c>
      <c r="D4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4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17</v>
      </c>
      <c r="K4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4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-9</v>
      </c>
      <c r="N4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4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4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43" s="49"/>
      <c r="S43" s="8"/>
      <c r="T4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4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4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225</v>
      </c>
      <c r="W4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13</v>
      </c>
      <c r="X4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3" s="8"/>
      <c r="Z43" s="8"/>
      <c r="AA43" s="57" t="s">
        <v>510</v>
      </c>
      <c r="AB43" s="3"/>
    </row>
    <row r="44" spans="1:30" x14ac:dyDescent="0.25">
      <c r="A44" s="52">
        <v>3100240</v>
      </c>
      <c r="B44" s="57" t="s">
        <v>202</v>
      </c>
      <c r="C4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22</v>
      </c>
      <c r="D4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4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17</v>
      </c>
      <c r="K4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4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4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4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4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3</v>
      </c>
      <c r="R44" s="49"/>
      <c r="S44" s="8"/>
      <c r="T4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4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4</v>
      </c>
      <c r="V4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250</v>
      </c>
      <c r="W4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9</v>
      </c>
      <c r="X4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4" s="8"/>
      <c r="Z44" s="8"/>
      <c r="AA44" s="98" t="s">
        <v>511</v>
      </c>
      <c r="AB44" s="3"/>
    </row>
    <row r="45" spans="1:30" x14ac:dyDescent="0.25">
      <c r="A45" s="52">
        <v>3100246</v>
      </c>
      <c r="B45" s="57" t="s">
        <v>207</v>
      </c>
      <c r="C4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22</v>
      </c>
      <c r="D4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4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17</v>
      </c>
      <c r="K4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4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4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4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4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3</v>
      </c>
      <c r="R45" s="49"/>
      <c r="S45" s="8"/>
      <c r="T4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4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4</v>
      </c>
      <c r="V4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250</v>
      </c>
      <c r="W4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9</v>
      </c>
      <c r="X4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5" s="8"/>
      <c r="Z45" s="8"/>
      <c r="AA45" s="98" t="s">
        <v>511</v>
      </c>
      <c r="AB45" s="3"/>
    </row>
    <row r="46" spans="1:30" x14ac:dyDescent="0.25">
      <c r="A46" s="52">
        <v>3100070</v>
      </c>
      <c r="B46" s="57" t="s">
        <v>203</v>
      </c>
      <c r="C4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37</v>
      </c>
      <c r="D4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4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38</v>
      </c>
      <c r="K4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4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4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15</v>
      </c>
      <c r="O4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13</v>
      </c>
      <c r="P4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46" s="49"/>
      <c r="S46" s="8"/>
      <c r="T4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-4</v>
      </c>
      <c r="U4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4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400</v>
      </c>
      <c r="W4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32</v>
      </c>
      <c r="X4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6" s="8"/>
      <c r="Z46" s="8"/>
      <c r="AA46" s="57" t="s">
        <v>512</v>
      </c>
      <c r="AB46" s="3"/>
    </row>
    <row r="47" spans="1:30" x14ac:dyDescent="0.25">
      <c r="A47" s="52">
        <v>3100470</v>
      </c>
      <c r="B47" s="57" t="s">
        <v>204</v>
      </c>
      <c r="C4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34</v>
      </c>
      <c r="D4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15</v>
      </c>
      <c r="E4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4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15</v>
      </c>
      <c r="I4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16</v>
      </c>
      <c r="K4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4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4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4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4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47" s="49" t="s">
        <v>169</v>
      </c>
      <c r="S47" s="8"/>
      <c r="T4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4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4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300</v>
      </c>
      <c r="W4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4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7" s="8" t="s">
        <v>206</v>
      </c>
      <c r="Z47" s="8"/>
      <c r="AA47" s="57" t="s">
        <v>513</v>
      </c>
      <c r="AB47" s="3"/>
    </row>
    <row r="48" spans="1:30" x14ac:dyDescent="0.25">
      <c r="A48" s="52">
        <v>3000170</v>
      </c>
      <c r="B48" s="55" t="s">
        <v>161</v>
      </c>
      <c r="C4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</v>
      </c>
      <c r="D4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4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3</v>
      </c>
      <c r="K4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4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4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4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4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48" s="49"/>
      <c r="S48" s="8"/>
      <c r="T4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4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4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4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</v>
      </c>
      <c r="X4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8" s="8"/>
      <c r="Z48" s="8"/>
      <c r="AA48" s="98" t="s">
        <v>548</v>
      </c>
      <c r="AB48" s="3"/>
    </row>
    <row r="49" spans="1:28" x14ac:dyDescent="0.25">
      <c r="A49" s="52">
        <v>3000172</v>
      </c>
      <c r="B49" s="57" t="s">
        <v>223</v>
      </c>
      <c r="C4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</v>
      </c>
      <c r="D4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4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4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4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4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4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4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3</v>
      </c>
      <c r="K4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4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4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4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4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4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4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49" s="49"/>
      <c r="S49" s="8"/>
      <c r="T4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4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4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4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</v>
      </c>
      <c r="X4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49" s="8"/>
      <c r="Z49" s="8"/>
      <c r="AA49" s="97" t="s">
        <v>548</v>
      </c>
      <c r="AB49" s="3"/>
    </row>
    <row r="50" spans="1:28" x14ac:dyDescent="0.25">
      <c r="A50" s="52">
        <v>3000171</v>
      </c>
      <c r="B50" s="57" t="s">
        <v>237</v>
      </c>
      <c r="C5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</v>
      </c>
      <c r="D5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5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3</v>
      </c>
      <c r="K5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5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5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5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5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0" s="49"/>
      <c r="S50" s="8"/>
      <c r="T5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5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5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5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</v>
      </c>
      <c r="X5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0" s="8"/>
      <c r="Z50" s="8"/>
      <c r="AA50" s="97" t="s">
        <v>548</v>
      </c>
      <c r="AB50" s="3"/>
    </row>
    <row r="51" spans="1:28" x14ac:dyDescent="0.25">
      <c r="A51" s="52">
        <v>3000038</v>
      </c>
      <c r="B51" s="57" t="s">
        <v>208</v>
      </c>
      <c r="C5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6</v>
      </c>
      <c r="D5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5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13</v>
      </c>
      <c r="K5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5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5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5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5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1" s="49"/>
      <c r="S51" s="8"/>
      <c r="T5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5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6</v>
      </c>
      <c r="V5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75</v>
      </c>
      <c r="W5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5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1" s="8"/>
      <c r="Z51" s="8"/>
      <c r="AA51" s="57" t="s">
        <v>514</v>
      </c>
      <c r="AB51" s="3"/>
    </row>
    <row r="52" spans="1:28" x14ac:dyDescent="0.25">
      <c r="A52" s="52">
        <v>3000280</v>
      </c>
      <c r="B52" s="57" t="s">
        <v>209</v>
      </c>
      <c r="C5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9</v>
      </c>
      <c r="D5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5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12</v>
      </c>
      <c r="K5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5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5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5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5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2" s="49"/>
      <c r="S52" s="8">
        <v>5</v>
      </c>
      <c r="T5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5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8</v>
      </c>
      <c r="V5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125</v>
      </c>
      <c r="W5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9</v>
      </c>
      <c r="X5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2" s="8"/>
      <c r="Z52" s="8"/>
      <c r="AA52" s="57" t="s">
        <v>549</v>
      </c>
      <c r="AB52" s="3"/>
    </row>
    <row r="53" spans="1:28" x14ac:dyDescent="0.25">
      <c r="A53" s="52">
        <v>3100445</v>
      </c>
      <c r="B53" s="57" t="s">
        <v>211</v>
      </c>
      <c r="C5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19</v>
      </c>
      <c r="D5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5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19</v>
      </c>
      <c r="K5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6</v>
      </c>
      <c r="L5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8</v>
      </c>
      <c r="M5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5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-10</v>
      </c>
      <c r="O5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5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3" s="49" t="s">
        <v>151</v>
      </c>
      <c r="S53" s="8"/>
      <c r="T5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6</v>
      </c>
      <c r="U5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5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600</v>
      </c>
      <c r="W5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5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3" s="8"/>
      <c r="Z53" s="8"/>
      <c r="AA53" s="57" t="s">
        <v>515</v>
      </c>
      <c r="AB53" s="3"/>
    </row>
    <row r="54" spans="1:28" x14ac:dyDescent="0.25">
      <c r="A54" s="52">
        <v>3000320</v>
      </c>
      <c r="B54" s="57" t="s">
        <v>212</v>
      </c>
      <c r="C5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30</v>
      </c>
      <c r="D5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5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23</v>
      </c>
      <c r="K5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5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-4</v>
      </c>
      <c r="N5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-8</v>
      </c>
      <c r="O5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-4</v>
      </c>
      <c r="P5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4" s="49"/>
      <c r="S54" s="8"/>
      <c r="T5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13</v>
      </c>
      <c r="U5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5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325</v>
      </c>
      <c r="W5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5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4" s="8"/>
      <c r="Z54" s="8"/>
      <c r="AA54" s="57" t="s">
        <v>550</v>
      </c>
      <c r="AB54" s="3"/>
    </row>
    <row r="55" spans="1:28" x14ac:dyDescent="0.25">
      <c r="A55" s="52">
        <v>3100190</v>
      </c>
      <c r="B55" s="57" t="s">
        <v>213</v>
      </c>
      <c r="C5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27</v>
      </c>
      <c r="D5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12</v>
      </c>
      <c r="F5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25</v>
      </c>
      <c r="K5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3</v>
      </c>
      <c r="L5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-9</v>
      </c>
      <c r="N5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5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5</v>
      </c>
      <c r="P5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5" s="49"/>
      <c r="S55" s="8"/>
      <c r="T5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5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5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350</v>
      </c>
      <c r="W5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5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5" s="8"/>
      <c r="Z55" s="8"/>
      <c r="AA55" s="57" t="s">
        <v>516</v>
      </c>
      <c r="AB55" s="3"/>
    </row>
    <row r="56" spans="1:28" x14ac:dyDescent="0.25">
      <c r="A56" s="52">
        <v>3000230</v>
      </c>
      <c r="B56" s="57" t="s">
        <v>214</v>
      </c>
      <c r="C5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16</v>
      </c>
      <c r="D5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5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10</v>
      </c>
      <c r="K5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5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-10</v>
      </c>
      <c r="N5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-13</v>
      </c>
      <c r="O5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5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6" s="49"/>
      <c r="S56" s="8">
        <v>8</v>
      </c>
      <c r="T5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5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8</v>
      </c>
      <c r="V5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250</v>
      </c>
      <c r="W5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5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6" s="8"/>
      <c r="Z56" s="8"/>
      <c r="AA56" s="57" t="s">
        <v>541</v>
      </c>
      <c r="AB56" s="3"/>
    </row>
    <row r="57" spans="1:28" x14ac:dyDescent="0.25">
      <c r="A57" s="52">
        <v>3200030</v>
      </c>
      <c r="B57" s="57" t="s">
        <v>215</v>
      </c>
      <c r="C5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0</v>
      </c>
      <c r="D5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5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0</v>
      </c>
      <c r="K5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5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5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5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5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7" s="49"/>
      <c r="S57" s="8"/>
      <c r="T5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5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5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5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0</v>
      </c>
      <c r="X5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7" s="8"/>
      <c r="Z57" s="8"/>
      <c r="AA57" s="57" t="s">
        <v>551</v>
      </c>
      <c r="AB57" s="3"/>
    </row>
    <row r="58" spans="1:28" x14ac:dyDescent="0.25">
      <c r="A58" s="52">
        <v>3100460</v>
      </c>
      <c r="B58" s="57" t="s">
        <v>216</v>
      </c>
      <c r="C5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28</v>
      </c>
      <c r="D5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5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19</v>
      </c>
      <c r="K5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5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2</v>
      </c>
      <c r="N5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5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1</v>
      </c>
      <c r="P5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8" s="49"/>
      <c r="S58" s="8"/>
      <c r="T5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5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5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300</v>
      </c>
      <c r="W5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5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58" s="8" t="s">
        <v>217</v>
      </c>
      <c r="Z58" s="8"/>
      <c r="AA58" s="57" t="s">
        <v>517</v>
      </c>
      <c r="AB58" s="3"/>
    </row>
    <row r="59" spans="1:28" x14ac:dyDescent="0.25">
      <c r="A59" s="52">
        <v>3100420</v>
      </c>
      <c r="B59" s="57" t="s">
        <v>218</v>
      </c>
      <c r="C5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9</v>
      </c>
      <c r="D5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5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5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5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5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5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5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15</v>
      </c>
      <c r="K5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5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5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5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5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5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5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59" s="49"/>
      <c r="S59" s="8"/>
      <c r="T5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4</v>
      </c>
      <c r="U5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5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125</v>
      </c>
      <c r="W5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5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30</v>
      </c>
      <c r="Y59" s="8" t="s">
        <v>217</v>
      </c>
      <c r="Z59" s="8"/>
      <c r="AA59" s="96" t="s">
        <v>518</v>
      </c>
      <c r="AB59" s="3"/>
    </row>
    <row r="60" spans="1:28" x14ac:dyDescent="0.25">
      <c r="A60" s="52">
        <v>3100430</v>
      </c>
      <c r="B60" s="57" t="s">
        <v>219</v>
      </c>
      <c r="C6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10</v>
      </c>
      <c r="D6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30</v>
      </c>
      <c r="E6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24</v>
      </c>
      <c r="F6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6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24</v>
      </c>
      <c r="I6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7</v>
      </c>
      <c r="K6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6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6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-8</v>
      </c>
      <c r="O6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-5</v>
      </c>
      <c r="P6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0" s="49"/>
      <c r="S60" s="8"/>
      <c r="T6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6</v>
      </c>
      <c r="U6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6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250</v>
      </c>
      <c r="W6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6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540</v>
      </c>
      <c r="Y60" s="8"/>
      <c r="Z60" s="8"/>
      <c r="AA60" s="57" t="s">
        <v>219</v>
      </c>
      <c r="AB60" s="3"/>
    </row>
    <row r="61" spans="1:28" x14ac:dyDescent="0.25">
      <c r="A61" s="52">
        <v>3000110</v>
      </c>
      <c r="B61" s="55" t="s">
        <v>164</v>
      </c>
      <c r="C6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4</v>
      </c>
      <c r="D6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6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6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6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6</v>
      </c>
      <c r="K6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6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-7</v>
      </c>
      <c r="N6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6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6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1" s="49"/>
      <c r="S61" s="8"/>
      <c r="T6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11</v>
      </c>
      <c r="U6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6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6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6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1" s="8"/>
      <c r="Z61" s="8"/>
      <c r="AA61" s="98" t="s">
        <v>552</v>
      </c>
      <c r="AB61" s="3"/>
    </row>
    <row r="62" spans="1:28" x14ac:dyDescent="0.25">
      <c r="A62" s="52">
        <v>3000111</v>
      </c>
      <c r="B62" s="57" t="s">
        <v>180</v>
      </c>
      <c r="C6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4</v>
      </c>
      <c r="D6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6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6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6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6</v>
      </c>
      <c r="K6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6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-7</v>
      </c>
      <c r="N6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6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6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2" s="49"/>
      <c r="S62" s="8"/>
      <c r="T6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11</v>
      </c>
      <c r="U6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6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6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6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2" s="8"/>
      <c r="Z62" s="8"/>
      <c r="AA62" s="98" t="s">
        <v>552</v>
      </c>
      <c r="AB62" s="3"/>
    </row>
    <row r="63" spans="1:28" x14ac:dyDescent="0.25">
      <c r="A63" s="52">
        <v>3000070</v>
      </c>
      <c r="B63" s="57" t="s">
        <v>220</v>
      </c>
      <c r="C6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5</v>
      </c>
      <c r="D6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30</v>
      </c>
      <c r="F6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30</v>
      </c>
      <c r="H6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30</v>
      </c>
      <c r="I6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4</v>
      </c>
      <c r="K6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6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6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6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-3</v>
      </c>
      <c r="P6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9</v>
      </c>
      <c r="Q6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3" s="49"/>
      <c r="S63" s="8"/>
      <c r="T6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6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6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6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6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3" s="8"/>
      <c r="Z63" s="8"/>
      <c r="AA63" s="57" t="s">
        <v>583</v>
      </c>
      <c r="AB63" s="3"/>
    </row>
    <row r="64" spans="1:28" x14ac:dyDescent="0.25">
      <c r="A64" s="52">
        <v>3100180</v>
      </c>
      <c r="B64" s="57" t="s">
        <v>221</v>
      </c>
      <c r="C6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37</v>
      </c>
      <c r="D6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6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6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6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25</v>
      </c>
      <c r="K6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6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4</v>
      </c>
      <c r="N6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7</v>
      </c>
      <c r="O6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8</v>
      </c>
      <c r="P6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4" s="49"/>
      <c r="S64" s="8"/>
      <c r="T6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-6</v>
      </c>
      <c r="U6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14</v>
      </c>
      <c r="V6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425</v>
      </c>
      <c r="W6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29</v>
      </c>
      <c r="X6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4" s="8"/>
      <c r="Z64" s="8"/>
      <c r="AA64" s="57" t="s">
        <v>519</v>
      </c>
      <c r="AB64" s="3"/>
    </row>
    <row r="65" spans="1:28" x14ac:dyDescent="0.25">
      <c r="A65" s="52">
        <v>3000010</v>
      </c>
      <c r="B65" s="57" t="s">
        <v>222</v>
      </c>
      <c r="C6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11</v>
      </c>
      <c r="D6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6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17</v>
      </c>
      <c r="H6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6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19</v>
      </c>
      <c r="K6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6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6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6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6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5" s="49"/>
      <c r="S65" s="8"/>
      <c r="T6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6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8</v>
      </c>
      <c r="V6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150</v>
      </c>
      <c r="W6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6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5" s="8"/>
      <c r="Z65" s="8"/>
      <c r="AA65" s="57" t="s">
        <v>520</v>
      </c>
      <c r="AB65" s="3"/>
    </row>
    <row r="66" spans="1:28" x14ac:dyDescent="0.25">
      <c r="A66" s="52">
        <v>3100060</v>
      </c>
      <c r="B66" s="57" t="s">
        <v>224</v>
      </c>
      <c r="C6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37</v>
      </c>
      <c r="D6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36</v>
      </c>
      <c r="F6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6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6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26</v>
      </c>
      <c r="K6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6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3</v>
      </c>
      <c r="N6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5</v>
      </c>
      <c r="O6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8</v>
      </c>
      <c r="P6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6" s="49"/>
      <c r="S66" s="8"/>
      <c r="T6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-4</v>
      </c>
      <c r="U6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6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475</v>
      </c>
      <c r="W6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34</v>
      </c>
      <c r="X6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6" s="8"/>
      <c r="Z66" s="8"/>
      <c r="AA66" s="57" t="s">
        <v>521</v>
      </c>
      <c r="AB66" s="3"/>
    </row>
    <row r="67" spans="1:28" x14ac:dyDescent="0.25">
      <c r="A67" s="52">
        <v>3000224</v>
      </c>
      <c r="B67" s="57" t="s">
        <v>225</v>
      </c>
      <c r="C6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28</v>
      </c>
      <c r="D6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27</v>
      </c>
      <c r="F6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6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6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16</v>
      </c>
      <c r="K6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6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2</v>
      </c>
      <c r="N6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6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6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7" s="49"/>
      <c r="S67" s="8"/>
      <c r="T6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10</v>
      </c>
      <c r="U6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10</v>
      </c>
      <c r="V6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375</v>
      </c>
      <c r="W6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6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7" s="8"/>
      <c r="Z67" s="8"/>
      <c r="AA67" s="57" t="s">
        <v>522</v>
      </c>
      <c r="AB67" s="3"/>
    </row>
    <row r="68" spans="1:28" x14ac:dyDescent="0.25">
      <c r="A68" s="52">
        <v>3000150</v>
      </c>
      <c r="B68" s="57" t="s">
        <v>227</v>
      </c>
      <c r="C6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0</v>
      </c>
      <c r="D6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6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6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6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0</v>
      </c>
      <c r="K6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6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6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6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6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8" s="49" t="s">
        <v>148</v>
      </c>
      <c r="S68" s="8"/>
      <c r="T6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6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6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6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0</v>
      </c>
      <c r="X6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8" s="8"/>
      <c r="Z68" s="8"/>
      <c r="AA68" s="96" t="s">
        <v>227</v>
      </c>
      <c r="AB68" s="3"/>
    </row>
    <row r="69" spans="1:28" x14ac:dyDescent="0.25">
      <c r="A69" s="52">
        <v>3100020</v>
      </c>
      <c r="B69" s="57" t="s">
        <v>228</v>
      </c>
      <c r="C6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25</v>
      </c>
      <c r="D6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6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6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6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6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36</v>
      </c>
      <c r="I6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6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25</v>
      </c>
      <c r="K6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6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6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2</v>
      </c>
      <c r="N6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6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3</v>
      </c>
      <c r="P6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6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69" s="49"/>
      <c r="S69" s="8"/>
      <c r="T6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6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6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225</v>
      </c>
      <c r="W6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13</v>
      </c>
      <c r="X6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69" s="8"/>
      <c r="Z69" s="8"/>
      <c r="AA69" s="57" t="s">
        <v>523</v>
      </c>
      <c r="AB69" s="3"/>
    </row>
    <row r="70" spans="1:28" x14ac:dyDescent="0.25">
      <c r="A70" s="52">
        <v>3100160</v>
      </c>
      <c r="B70" s="57" t="s">
        <v>229</v>
      </c>
      <c r="C7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38</v>
      </c>
      <c r="D7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24</v>
      </c>
      <c r="K7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3</v>
      </c>
      <c r="L7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7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7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7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7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0" s="49"/>
      <c r="S70" s="8">
        <v>10</v>
      </c>
      <c r="T7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10</v>
      </c>
      <c r="U7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10</v>
      </c>
      <c r="V7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400</v>
      </c>
      <c r="W7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25</v>
      </c>
      <c r="X7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0" s="8"/>
      <c r="Z70" s="8"/>
      <c r="AA70" s="57" t="s">
        <v>524</v>
      </c>
      <c r="AB70" s="3"/>
    </row>
    <row r="71" spans="1:28" x14ac:dyDescent="0.25">
      <c r="A71" s="52">
        <v>3100000</v>
      </c>
      <c r="B71" s="57" t="s">
        <v>230</v>
      </c>
      <c r="C7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29</v>
      </c>
      <c r="D7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22</v>
      </c>
      <c r="K7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7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7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7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7</v>
      </c>
      <c r="O7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13</v>
      </c>
      <c r="P7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1" s="49"/>
      <c r="S71" s="8"/>
      <c r="T7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-4</v>
      </c>
      <c r="U7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7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300</v>
      </c>
      <c r="W7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27</v>
      </c>
      <c r="X7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1" s="8"/>
      <c r="Z71" s="8"/>
      <c r="AA71" s="57" t="s">
        <v>525</v>
      </c>
      <c r="AB71" s="3"/>
    </row>
    <row r="72" spans="1:28" x14ac:dyDescent="0.25">
      <c r="A72" s="52">
        <v>3000120</v>
      </c>
      <c r="B72" s="55" t="s">
        <v>165</v>
      </c>
      <c r="C7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</v>
      </c>
      <c r="D7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4</v>
      </c>
      <c r="K7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7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7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-5</v>
      </c>
      <c r="N7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7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7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2" s="49"/>
      <c r="S72" s="8"/>
      <c r="T7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7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7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7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7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2" s="8"/>
      <c r="Z72" s="8"/>
      <c r="AA72" s="98" t="s">
        <v>554</v>
      </c>
      <c r="AB72" s="3"/>
    </row>
    <row r="73" spans="1:28" x14ac:dyDescent="0.25">
      <c r="A73" s="52">
        <v>3000121</v>
      </c>
      <c r="B73" s="57" t="s">
        <v>182</v>
      </c>
      <c r="C7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</v>
      </c>
      <c r="D7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4</v>
      </c>
      <c r="K7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7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7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-5</v>
      </c>
      <c r="N7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7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7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3" s="49"/>
      <c r="S73" s="8"/>
      <c r="T7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7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7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7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7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3" s="8"/>
      <c r="Z73" s="8"/>
      <c r="AA73" s="98" t="s">
        <v>554</v>
      </c>
      <c r="AB73" s="3"/>
    </row>
    <row r="74" spans="1:28" ht="30" x14ac:dyDescent="0.25">
      <c r="A74" s="52">
        <v>3100120</v>
      </c>
      <c r="B74" s="57" t="s">
        <v>238</v>
      </c>
      <c r="C7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26</v>
      </c>
      <c r="D7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26</v>
      </c>
      <c r="K7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7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4</v>
      </c>
      <c r="M7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10</v>
      </c>
      <c r="N7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7</v>
      </c>
      <c r="O7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-4</v>
      </c>
      <c r="P7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4" s="49" t="s">
        <v>478</v>
      </c>
      <c r="S74" s="8"/>
      <c r="T7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-4</v>
      </c>
      <c r="U7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7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375</v>
      </c>
      <c r="W7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27</v>
      </c>
      <c r="X7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4" s="8"/>
      <c r="Z74" s="8"/>
      <c r="AA74" s="57" t="s">
        <v>526</v>
      </c>
      <c r="AB74" s="3"/>
    </row>
    <row r="75" spans="1:28" ht="45" x14ac:dyDescent="0.25">
      <c r="A75" s="52">
        <v>3000360</v>
      </c>
      <c r="B75" s="57" t="s">
        <v>265</v>
      </c>
      <c r="C7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30</v>
      </c>
      <c r="D7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22</v>
      </c>
      <c r="K7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7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7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2</v>
      </c>
      <c r="N7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7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-11</v>
      </c>
      <c r="P7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5" s="86" t="s">
        <v>479</v>
      </c>
      <c r="S75" s="8"/>
      <c r="T7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7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7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325</v>
      </c>
      <c r="W7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7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5" s="8"/>
      <c r="Z75" s="8"/>
      <c r="AA75" s="57" t="s">
        <v>527</v>
      </c>
      <c r="AB75" s="3"/>
    </row>
    <row r="76" spans="1:28" x14ac:dyDescent="0.25">
      <c r="A76" s="52">
        <v>3000290</v>
      </c>
      <c r="B76" s="57" t="s">
        <v>239</v>
      </c>
      <c r="C7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19</v>
      </c>
      <c r="D7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12</v>
      </c>
      <c r="F7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21</v>
      </c>
      <c r="K7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7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7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7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7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7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6" s="49" t="s">
        <v>148</v>
      </c>
      <c r="S76" s="8">
        <v>5</v>
      </c>
      <c r="T7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7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7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200</v>
      </c>
      <c r="W7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13</v>
      </c>
      <c r="X7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6" s="8"/>
      <c r="Z76" s="8"/>
      <c r="AA76" s="57" t="s">
        <v>557</v>
      </c>
      <c r="AB76" s="3"/>
    </row>
    <row r="77" spans="1:28" ht="45" x14ac:dyDescent="0.25">
      <c r="A77" s="52">
        <v>3100480</v>
      </c>
      <c r="B77" s="57" t="s">
        <v>240</v>
      </c>
      <c r="C7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11</v>
      </c>
      <c r="D7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8</v>
      </c>
      <c r="K7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7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7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7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7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-5</v>
      </c>
      <c r="P7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7" s="49" t="s">
        <v>477</v>
      </c>
      <c r="S77" s="8"/>
      <c r="T7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7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7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275</v>
      </c>
      <c r="W7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7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7" s="8" t="s">
        <v>241</v>
      </c>
      <c r="Z77" s="8"/>
      <c r="AA77" s="57" t="s">
        <v>555</v>
      </c>
      <c r="AB77" s="3"/>
    </row>
    <row r="78" spans="1:28" x14ac:dyDescent="0.25">
      <c r="A78" s="52">
        <v>3000030</v>
      </c>
      <c r="B78" s="57" t="s">
        <v>242</v>
      </c>
      <c r="C7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12</v>
      </c>
      <c r="D7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9</v>
      </c>
      <c r="K7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7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7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7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7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7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8" s="49"/>
      <c r="S78" s="8">
        <v>4</v>
      </c>
      <c r="T7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7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5</v>
      </c>
      <c r="V7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150</v>
      </c>
      <c r="W7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7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8" s="8"/>
      <c r="Z78" s="8"/>
      <c r="AA78" s="57" t="s">
        <v>561</v>
      </c>
      <c r="AB78" s="3"/>
    </row>
    <row r="79" spans="1:28" x14ac:dyDescent="0.25">
      <c r="A79" s="52">
        <v>3000190</v>
      </c>
      <c r="B79" s="57" t="s">
        <v>243</v>
      </c>
      <c r="C7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11</v>
      </c>
      <c r="D7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7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7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7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7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7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7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6</v>
      </c>
      <c r="K7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7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7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7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7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-8</v>
      </c>
      <c r="P7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7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79" s="49"/>
      <c r="S79" s="8"/>
      <c r="T7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4</v>
      </c>
      <c r="U7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4</v>
      </c>
      <c r="V7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175</v>
      </c>
      <c r="W7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7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79" s="8"/>
      <c r="Z79" s="8"/>
      <c r="AA79" s="57" t="s">
        <v>558</v>
      </c>
      <c r="AB79" s="3"/>
    </row>
    <row r="80" spans="1:28" x14ac:dyDescent="0.25">
      <c r="A80" s="52">
        <v>3100243</v>
      </c>
      <c r="B80" s="57" t="s">
        <v>266</v>
      </c>
      <c r="C8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28</v>
      </c>
      <c r="D8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8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8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8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8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19</v>
      </c>
      <c r="K8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8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8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8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8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5</v>
      </c>
      <c r="R80" s="49"/>
      <c r="S80" s="8"/>
      <c r="T8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8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5</v>
      </c>
      <c r="V8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300</v>
      </c>
      <c r="W8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9</v>
      </c>
      <c r="X8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0" s="8"/>
      <c r="Z80" s="8"/>
      <c r="AA80" s="98" t="s">
        <v>528</v>
      </c>
      <c r="AB80" s="3"/>
    </row>
    <row r="81" spans="1:28" x14ac:dyDescent="0.25">
      <c r="A81" s="52">
        <v>3100247</v>
      </c>
      <c r="B81" s="57" t="s">
        <v>267</v>
      </c>
      <c r="C8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28</v>
      </c>
      <c r="D8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8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8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8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8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19</v>
      </c>
      <c r="K8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8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8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8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8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5</v>
      </c>
      <c r="R81" s="49"/>
      <c r="S81" s="8"/>
      <c r="T8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8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5</v>
      </c>
      <c r="V8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300</v>
      </c>
      <c r="W8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9</v>
      </c>
      <c r="X8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1" s="8"/>
      <c r="Z81" s="8"/>
      <c r="AA81" s="98" t="s">
        <v>528</v>
      </c>
      <c r="AB81" s="3"/>
    </row>
    <row r="82" spans="1:28" x14ac:dyDescent="0.25">
      <c r="A82" s="52">
        <v>3100170</v>
      </c>
      <c r="B82" s="57" t="s">
        <v>244</v>
      </c>
      <c r="C8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28</v>
      </c>
      <c r="D8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8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54</v>
      </c>
      <c r="G8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8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8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33</v>
      </c>
      <c r="K8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8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4</v>
      </c>
      <c r="N8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8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8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82" s="49"/>
      <c r="S82" s="8"/>
      <c r="T8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8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8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500</v>
      </c>
      <c r="W8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17</v>
      </c>
      <c r="X8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2" s="8" t="s">
        <v>245</v>
      </c>
      <c r="Z82" s="8"/>
      <c r="AA82" s="57" t="s">
        <v>529</v>
      </c>
      <c r="AB82" s="3"/>
    </row>
    <row r="83" spans="1:28" x14ac:dyDescent="0.25">
      <c r="A83" s="52">
        <v>3100100</v>
      </c>
      <c r="B83" s="57" t="s">
        <v>246</v>
      </c>
      <c r="C8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29</v>
      </c>
      <c r="D8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36</v>
      </c>
      <c r="F8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8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8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8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17</v>
      </c>
      <c r="K8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8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2</v>
      </c>
      <c r="N8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8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8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83" s="49"/>
      <c r="S83" s="8"/>
      <c r="T8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8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8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250</v>
      </c>
      <c r="W8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8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3" s="8"/>
      <c r="Z83" s="8"/>
      <c r="AA83" s="57" t="s">
        <v>530</v>
      </c>
      <c r="AB83" s="3"/>
    </row>
    <row r="84" spans="1:28" x14ac:dyDescent="0.25">
      <c r="A84" s="52">
        <v>3100410</v>
      </c>
      <c r="B84" s="57" t="s">
        <v>247</v>
      </c>
      <c r="C8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31</v>
      </c>
      <c r="D8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8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6</v>
      </c>
      <c r="G8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9</v>
      </c>
      <c r="H8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9</v>
      </c>
      <c r="I8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14</v>
      </c>
      <c r="K8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8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8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8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8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84" s="49" t="s">
        <v>189</v>
      </c>
      <c r="S84" s="8"/>
      <c r="T8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6</v>
      </c>
      <c r="U8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6</v>
      </c>
      <c r="V8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250</v>
      </c>
      <c r="W8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8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4" s="8" t="s">
        <v>248</v>
      </c>
      <c r="Z84" s="8"/>
      <c r="AA84" s="57" t="s">
        <v>531</v>
      </c>
      <c r="AB84" s="3"/>
    </row>
    <row r="85" spans="1:28" x14ac:dyDescent="0.25">
      <c r="A85" s="52">
        <v>3100150</v>
      </c>
      <c r="B85" s="57" t="s">
        <v>249</v>
      </c>
      <c r="C8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24</v>
      </c>
      <c r="D8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9</v>
      </c>
      <c r="E8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9</v>
      </c>
      <c r="F8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9</v>
      </c>
      <c r="G8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9</v>
      </c>
      <c r="H8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9</v>
      </c>
      <c r="I8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21</v>
      </c>
      <c r="K8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8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-15</v>
      </c>
      <c r="N8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-8</v>
      </c>
      <c r="O8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8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85" s="49"/>
      <c r="S85" s="8"/>
      <c r="T8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2</v>
      </c>
      <c r="U8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2</v>
      </c>
      <c r="V8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475</v>
      </c>
      <c r="W8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11</v>
      </c>
      <c r="X8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5" s="8"/>
      <c r="Z85" s="8"/>
      <c r="AA85" s="57" t="s">
        <v>559</v>
      </c>
      <c r="AB85" s="3"/>
    </row>
    <row r="86" spans="1:28" x14ac:dyDescent="0.25">
      <c r="A86" s="52">
        <v>3000130</v>
      </c>
      <c r="B86" s="57" t="s">
        <v>251</v>
      </c>
      <c r="C8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</v>
      </c>
      <c r="D8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8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8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8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8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</v>
      </c>
      <c r="K8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8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8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8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8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86" s="49"/>
      <c r="S86" s="8"/>
      <c r="T8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2</v>
      </c>
      <c r="U8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2</v>
      </c>
      <c r="V8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8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8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6" s="8"/>
      <c r="Z86" s="8"/>
      <c r="AA86" s="57" t="s">
        <v>560</v>
      </c>
      <c r="AB86" s="3"/>
    </row>
    <row r="87" spans="1:28" ht="30" x14ac:dyDescent="0.25">
      <c r="A87" s="52">
        <v>3000140</v>
      </c>
      <c r="B87" s="57" t="s">
        <v>252</v>
      </c>
      <c r="C8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21</v>
      </c>
      <c r="D8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8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17</v>
      </c>
      <c r="G8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17</v>
      </c>
      <c r="H8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17</v>
      </c>
      <c r="I8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14</v>
      </c>
      <c r="K8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8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8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8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-8</v>
      </c>
      <c r="P8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87" s="49" t="s">
        <v>473</v>
      </c>
      <c r="S87" s="8"/>
      <c r="T8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8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8</v>
      </c>
      <c r="V8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250</v>
      </c>
      <c r="W8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8</v>
      </c>
      <c r="X8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7" s="8"/>
      <c r="Z87" s="8"/>
      <c r="AA87" s="57" t="s">
        <v>532</v>
      </c>
      <c r="AB87" s="3"/>
    </row>
    <row r="88" spans="1:28" x14ac:dyDescent="0.25">
      <c r="A88" s="52">
        <v>3000000</v>
      </c>
      <c r="B88" s="57" t="s">
        <v>253</v>
      </c>
      <c r="C8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10</v>
      </c>
      <c r="D8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8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8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8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8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4</v>
      </c>
      <c r="K8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8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8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8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8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88" s="49"/>
      <c r="S88" s="8">
        <v>8</v>
      </c>
      <c r="T8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2</v>
      </c>
      <c r="U8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4</v>
      </c>
      <c r="V8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200</v>
      </c>
      <c r="W8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8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8" s="8"/>
      <c r="Z88" s="8"/>
      <c r="AA88" s="57" t="s">
        <v>542</v>
      </c>
      <c r="AB88" s="3"/>
    </row>
    <row r="89" spans="1:28" x14ac:dyDescent="0.25">
      <c r="A89" s="52">
        <v>3100140</v>
      </c>
      <c r="B89" s="57" t="s">
        <v>254</v>
      </c>
      <c r="C8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41</v>
      </c>
      <c r="D8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8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8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8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8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48</v>
      </c>
      <c r="I8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8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29</v>
      </c>
      <c r="K8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8</v>
      </c>
      <c r="L8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8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8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15</v>
      </c>
      <c r="O8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4</v>
      </c>
      <c r="P8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8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89" s="49"/>
      <c r="S89" s="8"/>
      <c r="T8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8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8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0</v>
      </c>
      <c r="W8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37</v>
      </c>
      <c r="X8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89" s="8"/>
      <c r="Z89" s="8"/>
      <c r="AA89" s="57" t="s">
        <v>533</v>
      </c>
      <c r="AB89" s="3"/>
    </row>
    <row r="90" spans="1:28" x14ac:dyDescent="0.25">
      <c r="A90" s="52">
        <v>3100465</v>
      </c>
      <c r="B90" s="57" t="s">
        <v>255</v>
      </c>
      <c r="C9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30</v>
      </c>
      <c r="D9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9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9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9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9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22</v>
      </c>
      <c r="K9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9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6</v>
      </c>
      <c r="N9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9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1</v>
      </c>
      <c r="P9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0" s="49"/>
      <c r="S90" s="8"/>
      <c r="T9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8</v>
      </c>
      <c r="U9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9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325</v>
      </c>
      <c r="W9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9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0" s="8" t="s">
        <v>217</v>
      </c>
      <c r="Z90" s="8"/>
      <c r="AA90" s="57" t="s">
        <v>534</v>
      </c>
      <c r="AB90" s="3"/>
    </row>
    <row r="91" spans="1:28" x14ac:dyDescent="0.25">
      <c r="A91" s="52">
        <v>3100260</v>
      </c>
      <c r="B91" s="57" t="s">
        <v>256</v>
      </c>
      <c r="C9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25</v>
      </c>
      <c r="D9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9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9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9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9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22</v>
      </c>
      <c r="K9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9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1</v>
      </c>
      <c r="N9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3</v>
      </c>
      <c r="O9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9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1" s="49"/>
      <c r="S91" s="8"/>
      <c r="T9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9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9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300</v>
      </c>
      <c r="W9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9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1" s="8"/>
      <c r="Z91" s="8"/>
      <c r="AA91" s="57" t="s">
        <v>535</v>
      </c>
      <c r="AB91" s="3"/>
    </row>
    <row r="92" spans="1:28" ht="45" x14ac:dyDescent="0.25">
      <c r="A92" s="52">
        <v>3000340</v>
      </c>
      <c r="B92" s="57" t="s">
        <v>257</v>
      </c>
      <c r="C92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14</v>
      </c>
      <c r="D92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12</v>
      </c>
      <c r="E92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12</v>
      </c>
      <c r="F92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12</v>
      </c>
      <c r="G92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12</v>
      </c>
      <c r="H92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12</v>
      </c>
      <c r="I92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2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4</v>
      </c>
      <c r="K92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1</v>
      </c>
      <c r="L92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2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92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92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-6</v>
      </c>
      <c r="P92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2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2" s="49" t="s">
        <v>476</v>
      </c>
      <c r="S92" s="8"/>
      <c r="T92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92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4</v>
      </c>
      <c r="V92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200</v>
      </c>
      <c r="W92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92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2" s="8"/>
      <c r="Z92" s="8"/>
      <c r="AA92" s="57" t="s">
        <v>562</v>
      </c>
      <c r="AB92" s="3"/>
    </row>
    <row r="93" spans="1:28" x14ac:dyDescent="0.25">
      <c r="A93" s="52">
        <v>3100200</v>
      </c>
      <c r="B93" s="57" t="s">
        <v>258</v>
      </c>
      <c r="C93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41</v>
      </c>
      <c r="D93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93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93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3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93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93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3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38</v>
      </c>
      <c r="K93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93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3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3</v>
      </c>
      <c r="N93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10</v>
      </c>
      <c r="O93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13</v>
      </c>
      <c r="P93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3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3" s="49" t="s">
        <v>200</v>
      </c>
      <c r="S93" s="8"/>
      <c r="T93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-4</v>
      </c>
      <c r="U93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93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475</v>
      </c>
      <c r="W93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32</v>
      </c>
      <c r="X93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3" s="8"/>
      <c r="Z93" s="8"/>
      <c r="AA93" s="57" t="s">
        <v>563</v>
      </c>
      <c r="AB93" s="3"/>
    </row>
    <row r="94" spans="1:28" x14ac:dyDescent="0.25">
      <c r="A94" s="52">
        <v>3000060</v>
      </c>
      <c r="B94" s="57" t="s">
        <v>259</v>
      </c>
      <c r="C94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13</v>
      </c>
      <c r="D94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94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36</v>
      </c>
      <c r="F94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4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36</v>
      </c>
      <c r="H94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36</v>
      </c>
      <c r="I94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4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5</v>
      </c>
      <c r="K94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94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4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94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94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-5</v>
      </c>
      <c r="P94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4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4" s="49"/>
      <c r="S94" s="8"/>
      <c r="T94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94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94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275</v>
      </c>
      <c r="W94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6</v>
      </c>
      <c r="X94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4" s="8"/>
      <c r="Z94" s="8"/>
      <c r="AA94" s="57" t="s">
        <v>556</v>
      </c>
      <c r="AB94" s="3"/>
    </row>
    <row r="95" spans="1:28" x14ac:dyDescent="0.25">
      <c r="A95" s="52">
        <v>3100210</v>
      </c>
      <c r="B95" s="57" t="s">
        <v>260</v>
      </c>
      <c r="C95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10</v>
      </c>
      <c r="D95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95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95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5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95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95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5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25</v>
      </c>
      <c r="K95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95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5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95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95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-8</v>
      </c>
      <c r="P95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5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5" s="49" t="s">
        <v>261</v>
      </c>
      <c r="S95" s="8"/>
      <c r="T95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95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6</v>
      </c>
      <c r="V95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225</v>
      </c>
      <c r="W95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5</v>
      </c>
      <c r="X95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5" s="8"/>
      <c r="Z95" s="8"/>
      <c r="AA95" s="57" t="s">
        <v>536</v>
      </c>
      <c r="AB95" s="3"/>
    </row>
    <row r="96" spans="1:28" x14ac:dyDescent="0.25">
      <c r="A96" s="52">
        <v>3100220</v>
      </c>
      <c r="B96" s="57" t="s">
        <v>262</v>
      </c>
      <c r="C96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28</v>
      </c>
      <c r="D96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96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96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6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96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96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6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19</v>
      </c>
      <c r="K96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2</v>
      </c>
      <c r="L96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6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2</v>
      </c>
      <c r="N96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4</v>
      </c>
      <c r="O96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-4</v>
      </c>
      <c r="P96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2</v>
      </c>
      <c r="Q96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6" s="49"/>
      <c r="S96" s="8"/>
      <c r="T96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96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6</v>
      </c>
      <c r="V96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300</v>
      </c>
      <c r="W96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18</v>
      </c>
      <c r="X96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6" s="67" t="s">
        <v>471</v>
      </c>
      <c r="Z96" s="8"/>
      <c r="AA96" s="57" t="s">
        <v>537</v>
      </c>
      <c r="AB96" s="3"/>
    </row>
    <row r="97" spans="1:28" x14ac:dyDescent="0.25">
      <c r="A97" s="52">
        <v>3100010</v>
      </c>
      <c r="B97" s="57" t="s">
        <v>263</v>
      </c>
      <c r="C97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39</v>
      </c>
      <c r="D97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36</v>
      </c>
      <c r="E97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97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7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97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97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7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26</v>
      </c>
      <c r="K97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97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7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5</v>
      </c>
      <c r="N97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5</v>
      </c>
      <c r="O97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8</v>
      </c>
      <c r="P97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7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7" s="49"/>
      <c r="S97" s="8"/>
      <c r="T97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-5</v>
      </c>
      <c r="U97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4</v>
      </c>
      <c r="V97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450</v>
      </c>
      <c r="W97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22</v>
      </c>
      <c r="X97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7" s="8"/>
      <c r="Z97" s="8"/>
      <c r="AA97" s="57" t="s">
        <v>538</v>
      </c>
      <c r="AB97" s="3"/>
    </row>
    <row r="98" spans="1:28" x14ac:dyDescent="0.25">
      <c r="A98" s="52">
        <v>3000080</v>
      </c>
      <c r="B98" s="57" t="s">
        <v>183</v>
      </c>
      <c r="C98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</v>
      </c>
      <c r="D98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98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98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8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98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98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8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</v>
      </c>
      <c r="K98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98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8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98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98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98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8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8" s="49"/>
      <c r="S98" s="8"/>
      <c r="T98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98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5</v>
      </c>
      <c r="V98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98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98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8" s="8"/>
      <c r="Z98" s="8"/>
      <c r="AA98" s="98" t="s">
        <v>564</v>
      </c>
      <c r="AB98" s="3"/>
    </row>
    <row r="99" spans="1:28" x14ac:dyDescent="0.25">
      <c r="A99" s="52">
        <v>3000082</v>
      </c>
      <c r="B99" s="57" t="s">
        <v>195</v>
      </c>
      <c r="C99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</v>
      </c>
      <c r="D99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99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99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99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99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99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99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</v>
      </c>
      <c r="K99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99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99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99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99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99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99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99" s="49"/>
      <c r="S99" s="8"/>
      <c r="T99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99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5</v>
      </c>
      <c r="V99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99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99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99" s="8"/>
      <c r="Z99" s="8"/>
      <c r="AA99" s="98" t="s">
        <v>564</v>
      </c>
      <c r="AB99" s="3"/>
    </row>
    <row r="100" spans="1:28" x14ac:dyDescent="0.25">
      <c r="A100" s="52">
        <v>3000081</v>
      </c>
      <c r="B100" s="57" t="s">
        <v>226</v>
      </c>
      <c r="C100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</v>
      </c>
      <c r="D100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00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00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100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00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00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00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</v>
      </c>
      <c r="K100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0</v>
      </c>
      <c r="L100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00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0</v>
      </c>
      <c r="N100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0</v>
      </c>
      <c r="O100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0</v>
      </c>
      <c r="P100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00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0</v>
      </c>
      <c r="R100" s="49"/>
      <c r="S100" s="8"/>
      <c r="T100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0</v>
      </c>
      <c r="U100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5</v>
      </c>
      <c r="V100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100</v>
      </c>
      <c r="W100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4</v>
      </c>
      <c r="X100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00" s="8"/>
      <c r="Z100" s="8"/>
      <c r="AA100" s="98" t="s">
        <v>564</v>
      </c>
      <c r="AB100" s="3"/>
    </row>
    <row r="101" spans="1:28" x14ac:dyDescent="0.25">
      <c r="A101" s="52">
        <v>3100031</v>
      </c>
      <c r="B101" s="57" t="s">
        <v>264</v>
      </c>
      <c r="C101" s="79">
        <f ca="1" xml:space="preserve"> MROUND(INDEX(SetsBaseStats[],MATCH(Tab_BodyArmour[[#This Row],[Tag]],SetsBaseStats[Tag],0),MATCH(C$1,SetsBaseStats[#Headers],0))*INDEX(Modifiers[],MATCH($B$107,Modifiers[Armour Type],0),MATCH("Resistance",Modifiers[#Headers],0)),Tab_RoundTo[Resistance] * SIGN(INDEX(SetsBaseStats[],MATCH(Tab_BodyArmour[[#This Row],[Tag]],SetsBaseStats[Tag],0),MATCH(C$1,SetsBaseStats[#Headers],0))))</f>
        <v>36</v>
      </c>
      <c r="D101" s="65">
        <f ca="1" xml:space="preserve"> MROUND(INDEX(SetsBaseStats[],MATCH(Tab_BodyArmour[[#This Row],[Tag]],SetsBaseStats[Tag],0),MATCH(D$1,SetsBaseStats[#Headers],0))*INDEX(Modifiers[],MATCH($B$107,Modifiers[Armour Type],0),MATCH("Resistance",Modifiers[#Headers],0)),Tab_RoundTo[Resistance] * SIGN(INDEX(SetsBaseStats[],MATCH(Tab_BodyArmour[[#This Row],[Tag]],SetsBaseStats[Tag],0),MATCH(D$1,SetsBaseStats[#Headers],0))))</f>
        <v>0</v>
      </c>
      <c r="E101" s="73">
        <f ca="1" xml:space="preserve"> MROUND(INDEX(SetsBaseStats[],MATCH(Tab_BodyArmour[[#This Row],[Tag]],SetsBaseStats[Tag],0),MATCH(E$1,SetsBaseStats[#Headers],0))*INDEX(Modifiers[],MATCH($B$107,Modifiers[Armour Type],0),MATCH("Resistance",Modifiers[#Headers],0)),Tab_RoundTo[Resistance] * SIGN(INDEX(SetsBaseStats[],MATCH(Tab_BodyArmour[[#This Row],[Tag]],SetsBaseStats[Tag],0),MATCH(E$1,SetsBaseStats[#Headers],0))))</f>
        <v>0</v>
      </c>
      <c r="F101" s="69">
        <f ca="1" xml:space="preserve"> MROUND(INDEX(SetsBaseStats[],MATCH(Tab_BodyArmour[[#This Row],[Tag]],SetsBaseStats[Tag],0),MATCH(F$1,SetsBaseStats[#Headers],0))*INDEX(Modifiers[],MATCH($B$107,Modifiers[Armour Type],0),MATCH("Resistance",Modifiers[#Headers],0)),Tab_RoundTo[Resistance] * SIGN(INDEX(SetsBaseStats[],MATCH(Tab_BodyArmour[[#This Row],[Tag]],SetsBaseStats[Tag],0),MATCH(F$1,SetsBaseStats[#Headers],0))))</f>
        <v>0</v>
      </c>
      <c r="G101" s="71">
        <f ca="1" xml:space="preserve"> MROUND(INDEX(SetsBaseStats[],MATCH(Tab_BodyArmour[[#This Row],[Tag]],SetsBaseStats[Tag],0),MATCH(G$1,SetsBaseStats[#Headers],0))*INDEX(Modifiers[],MATCH($B$107,Modifiers[Armour Type],0),MATCH("Resistance",Modifiers[#Headers],0)),Tab_RoundTo[Resistance] * SIGN(INDEX(SetsBaseStats[],MATCH(Tab_BodyArmour[[#This Row],[Tag]],SetsBaseStats[Tag],0),MATCH(G$1,SetsBaseStats[#Headers],0))))</f>
        <v>0</v>
      </c>
      <c r="H101" s="66">
        <f ca="1" xml:space="preserve"> MROUND(INDEX(SetsBaseStats[],MATCH(Tab_BodyArmour[[#This Row],[Tag]],SetsBaseStats[Tag],0),MATCH(H$1,SetsBaseStats[#Headers],0))*INDEX(Modifiers[],MATCH($B$107,Modifiers[Armour Type],0),MATCH("Resistance",Modifiers[#Headers],0)),Tab_RoundTo[Resistance] * SIGN(INDEX(SetsBaseStats[],MATCH(Tab_BodyArmour[[#This Row],[Tag]],SetsBaseStats[Tag],0),MATCH(H$1,SetsBaseStats[#Headers],0))))</f>
        <v>0</v>
      </c>
      <c r="I101" s="74">
        <f ca="1" xml:space="preserve"> MROUND(INDEX(SetsBaseStats[],MATCH(Tab_BodyArmour[[#This Row],[Tag]],SetsBaseStats[Tag],0),MATCH(I$1,SetsBaseStats[#Headers],0))*INDEX(Modifiers[],MATCH($B$107,Modifiers[Armour Type],0),MATCH("Resistance",Modifiers[#Headers],0)),Tab_RoundTo[Resistance] * SIGN(INDEX(SetsBaseStats[],MATCH(Tab_BodyArmour[[#This Row],[Tag]],SetsBaseStats[Tag],0),MATCH(I$1,SetsBaseStats[#Headers],0))))</f>
        <v>0</v>
      </c>
      <c r="J101" s="8">
        <f ca="1" xml:space="preserve"> MROUND(INDEX(SetsBaseStats[],MATCH(Tab_BodyArmour[[#This Row],[Tag]],SetsBaseStats[Tag],0),MATCH(J$1,SetsBaseStats[#Headers],0))*INDEX(Modifiers[],MATCH($B$107,Modifiers[Armour Type],0),MATCH(J$1,Modifiers[#Headers],0)),INDEX(Tab_RoundTo[],1,MATCH(J$1,Tab_RoundTo[#Headers],0))* SIGN(INDEX(SetsBaseStats[],MATCH(Tab_BodyArmour[[#This Row],[Tag]],SetsBaseStats[Tag],0),MATCH(J$1,SetsBaseStats[#Headers],0))))</f>
        <v>26</v>
      </c>
      <c r="K101" s="8">
        <f ca="1" xml:space="preserve"> MROUND(INDEX(SetsBaseStats[],MATCH(Tab_BodyArmour[[#This Row],[Tag]],SetsBaseStats[Tag],0),MATCH(K$1,SetsBaseStats[#Headers],0))*INDEX(Modifiers[],MATCH($B$107,Modifiers[Armour Type],0),MATCH(K$1,Modifiers[#Headers],0)),INDEX(Tab_RoundTo[],1,MATCH(K$1,Tab_RoundTo[#Headers],0))* SIGN(INDEX(SetsBaseStats[],MATCH(Tab_BodyArmour[[#This Row],[Tag]],SetsBaseStats[Tag],0),MATCH(K$1,SetsBaseStats[#Headers],0))))</f>
        <v>4</v>
      </c>
      <c r="L101" s="8">
        <f ca="1" xml:space="preserve"> MROUND(INDEX(SetsBaseStats[],MATCH(Tab_BodyArmour[[#This Row],[Tag]],SetsBaseStats[Tag],0),MATCH(L$1,SetsBaseStats[#Headers],0))*INDEX(Modifiers[],MATCH($B$107,Modifiers[Armour Type],0),MATCH(L$1,Modifiers[#Headers],0)),INDEX(Tab_RoundTo[],1,MATCH(L$1,Tab_RoundTo[#Headers],0))* SIGN(INDEX(SetsBaseStats[],MATCH(Tab_BodyArmour[[#This Row],[Tag]],SetsBaseStats[Tag],0),MATCH(L$1,SetsBaseStats[#Headers],0))))</f>
        <v>0</v>
      </c>
      <c r="M101" s="8">
        <f ca="1" xml:space="preserve"> MROUND(INDEX(SetsBaseStats[],MATCH(Tab_BodyArmour[[#This Row],[Tag]],SetsBaseStats[Tag],0),MATCH(M$1,SetsBaseStats[#Headers],0))*INDEX(Modifiers[],MATCH($B$107,Modifiers[Armour Type],0),MATCH(M$1,Modifiers[#Headers],0)),INDEX(Tab_RoundTo[],1,MATCH(M$1,Tab_RoundTo[#Headers],0))* SIGN(INDEX(SetsBaseStats[],MATCH(Tab_BodyArmour[[#This Row],[Tag]],SetsBaseStats[Tag],0),MATCH(M$1,SetsBaseStats[#Headers],0))))</f>
        <v>7</v>
      </c>
      <c r="N101" s="15">
        <f ca="1" xml:space="preserve"> MROUND(INDEX(SetsBaseStats[],MATCH(Tab_BodyArmour[[#This Row],[Tag]],SetsBaseStats[Tag],0),MATCH(N$1,SetsBaseStats[#Headers],0))*INDEX(Modifiers[],MATCH($B$107,Modifiers[Armour Type],0),MATCH(N$1,Modifiers[#Headers],0)),INDEX(Tab_RoundTo[],1,MATCH(N$1,Tab_RoundTo[#Headers],0))* SIGN(INDEX(SetsBaseStats[],MATCH(Tab_BodyArmour[[#This Row],[Tag]],SetsBaseStats[Tag],0),MATCH(N$1,SetsBaseStats[#Headers],0))))</f>
        <v>-11</v>
      </c>
      <c r="O101" s="8">
        <f ca="1" xml:space="preserve"> MROUND(INDEX(SetsBaseStats[],MATCH(Tab_BodyArmour[[#This Row],[Tag]],SetsBaseStats[Tag],0),MATCH(O$1,SetsBaseStats[#Headers],0))*INDEX(Modifiers[],MATCH($B$107,Modifiers[Armour Type],0),MATCH(O$1,Modifiers[#Headers],0)),INDEX(Tab_RoundTo[],1,MATCH(O$1,Tab_RoundTo[#Headers],0))* SIGN(INDEX(SetsBaseStats[],MATCH(Tab_BodyArmour[[#This Row],[Tag]],SetsBaseStats[Tag],0),MATCH(O$1,SetsBaseStats[#Headers],0))))</f>
        <v>8</v>
      </c>
      <c r="P101" s="8">
        <f ca="1" xml:space="preserve"> MROUND(INDEX(SetsBaseStats[],MATCH(Tab_BodyArmour[[#This Row],[Tag]],SetsBaseStats[Tag],0),MATCH(P$1,SetsBaseStats[#Headers],0))*INDEX(Modifiers[],MATCH($B$107,Modifiers[Armour Type],0),MATCH(P$1,Modifiers[#Headers],0)),INDEX(Tab_RoundTo[],1,MATCH(P$1,Tab_RoundTo[#Headers],0))* SIGN(INDEX(SetsBaseStats[],MATCH(Tab_BodyArmour[[#This Row],[Tag]],SetsBaseStats[Tag],0),MATCH(P$1,SetsBaseStats[#Headers],0))))</f>
        <v>0</v>
      </c>
      <c r="Q101" s="8">
        <f ca="1" xml:space="preserve"> MROUND(INDEX(SetsBaseStats[],MATCH(Tab_BodyArmour[[#This Row],[Tag]],SetsBaseStats[Tag],0),MATCH(Q$1,SetsBaseStats[#Headers],0))*INDEX(Modifiers[],MATCH($B$107,Modifiers[Armour Type],0),MATCH(Q$1,Modifiers[#Headers],0)),INDEX(Tab_RoundTo[],1,MATCH(Q$1,Tab_RoundTo[#Headers],0))* SIGN(INDEX(SetsBaseStats[],MATCH(Tab_BodyArmour[[#This Row],[Tag]],SetsBaseStats[Tag],0),MATCH(Q$1,SetsBaseStats[#Headers],0))))</f>
        <v>-3</v>
      </c>
      <c r="R101" s="49" t="s">
        <v>189</v>
      </c>
      <c r="S101" s="8"/>
      <c r="T101" s="8">
        <f ca="1" xml:space="preserve"> MROUND(INDEX(SetsBaseStats[],MATCH(Tab_BodyArmour[[#This Row],[Tag]],SetsBaseStats[Tag],0),MATCH(T$1,SetsBaseStats[#Headers],0))*INDEX(Modifiers[],MATCH($B$107,Modifiers[Armour Type],0),MATCH(T$1,Modifiers[#Headers],0)),INDEX(Tab_RoundTo[],1,MATCH(T$1,Tab_RoundTo[#Headers],0))* SIGN(INDEX(SetsBaseStats[],MATCH(Tab_BodyArmour[[#This Row],[Tag]],SetsBaseStats[Tag],0),MATCH(T$1,SetsBaseStats[#Headers],0))))</f>
        <v>13</v>
      </c>
      <c r="U101" s="8">
        <f ca="1" xml:space="preserve"> MROUND(INDEX(SetsBaseStats[],MATCH(Tab_BodyArmour[[#This Row],[Tag]],SetsBaseStats[Tag],0),MATCH(U$1,SetsBaseStats[#Headers],0))*INDEX(Modifiers[],MATCH($B$107,Modifiers[Armour Type],0),MATCH(U$1,Modifiers[#Headers],0)),INDEX(Tab_RoundTo[],1,MATCH(U$1,Tab_RoundTo[#Headers],0))* SIGN(INDEX(SetsBaseStats[],MATCH(Tab_BodyArmour[[#This Row],[Tag]],SetsBaseStats[Tag],0),MATCH(U$1,SetsBaseStats[#Headers],0))))</f>
        <v>0</v>
      </c>
      <c r="V101" s="8">
        <f ca="1" xml:space="preserve"> MROUND(INDEX(SetsBaseStats[],MATCH(Tab_BodyArmour[[#This Row],[Tag]],SetsBaseStats[Tag],0),MATCH(V$1,SetsBaseStats[#Headers],0))*INDEX(Modifiers[],MATCH($B$107,Modifiers[Armour Type],0),MATCH(V$1,Modifiers[#Headers],0)),INDEX(Tab_RoundTo[],1,MATCH(V$1,Tab_RoundTo[#Headers],0))* SIGN(INDEX(SetsBaseStats[],MATCH(Tab_BodyArmour[[#This Row],[Tag]],SetsBaseStats[Tag],0),MATCH(V$1,SetsBaseStats[#Headers],0))))</f>
        <v>550</v>
      </c>
      <c r="W101" s="8">
        <f ca="1" xml:space="preserve"> MROUND(INDEX(SetsBaseStats[],MATCH(Tab_BodyArmour[[#This Row],[Tag]],SetsBaseStats[Tag],0),MATCH(W$1,SetsBaseStats[#Headers],0))*INDEX(Modifiers[],MATCH($B$107,Modifiers[Armour Type],0),MATCH(W$1,Modifiers[#Headers],0)),INDEX(Tab_RoundTo[],1,MATCH(W$1,Tab_RoundTo[#Headers],0))* SIGN(INDEX(SetsBaseStats[],MATCH(Tab_BodyArmour[[#This Row],[Tag]],SetsBaseStats[Tag],0),MATCH(W$1,SetsBaseStats[#Headers],0))))</f>
        <v>34</v>
      </c>
      <c r="X101" s="8">
        <f ca="1" xml:space="preserve"> MROUND(INDEX(SetsBaseStats[],MATCH(Tab_BodyArmour[[#This Row],[Tag]],SetsBaseStats[Tag],0),MATCH(X$1,SetsBaseStats[#Headers],0))*INDEX(Modifiers[],MATCH($B$107,Modifiers[Armour Type],0),MATCH(X$1,Modifiers[#Headers],0)),INDEX(Tab_RoundTo[],1,MATCH(X$1,Tab_RoundTo[#Headers],0))* SIGN(INDEX(SetsBaseStats[],MATCH(Tab_BodyArmour[[#This Row],[Tag]],SetsBaseStats[Tag],0),MATCH(X$1,SetsBaseStats[#Headers],0))))</f>
        <v>0</v>
      </c>
      <c r="Y101" s="8"/>
      <c r="Z101" s="8"/>
      <c r="AA101" s="57" t="s">
        <v>539</v>
      </c>
      <c r="AB101" s="3"/>
    </row>
    <row r="102" spans="1:28" x14ac:dyDescent="0.25">
      <c r="A102" s="52"/>
      <c r="B102" s="55"/>
      <c r="C102" s="8"/>
      <c r="D102" s="8"/>
      <c r="E102" s="8"/>
      <c r="F102" s="8"/>
      <c r="G102" s="8"/>
      <c r="H102" s="8"/>
      <c r="I102" s="8"/>
      <c r="J102" s="8"/>
      <c r="K102" s="15"/>
      <c r="L102" s="33"/>
      <c r="M102" s="8"/>
      <c r="N102" s="15"/>
      <c r="O102" s="8"/>
      <c r="P102" s="8"/>
      <c r="Q102" s="8"/>
      <c r="R102" s="8"/>
      <c r="S102" s="8"/>
      <c r="T102" s="8"/>
      <c r="U102" s="35"/>
      <c r="V102" s="8"/>
      <c r="W102" s="7"/>
      <c r="X102" s="7"/>
      <c r="Y102" s="7"/>
      <c r="Z102" s="7"/>
      <c r="AA102" s="7"/>
      <c r="AB102" s="3"/>
    </row>
    <row r="103" spans="1:28" x14ac:dyDescent="0.25">
      <c r="A103" s="52"/>
      <c r="B103" s="55"/>
      <c r="C103" s="8"/>
      <c r="D103" s="8"/>
      <c r="E103" s="8"/>
      <c r="F103" s="8"/>
      <c r="G103" s="8"/>
      <c r="H103" s="8"/>
      <c r="I103" s="8"/>
      <c r="J103" s="8"/>
      <c r="K103" s="15"/>
      <c r="L103" s="33"/>
      <c r="M103" s="8"/>
      <c r="N103" s="15"/>
      <c r="O103" s="8"/>
      <c r="P103" s="8"/>
      <c r="Q103" s="8"/>
      <c r="R103" s="8"/>
      <c r="S103" s="8"/>
      <c r="T103" s="8"/>
      <c r="U103" s="35"/>
      <c r="V103" s="8"/>
      <c r="W103" s="7"/>
      <c r="X103" s="7"/>
      <c r="Y103" s="7"/>
      <c r="Z103" s="7"/>
      <c r="AA103" s="7"/>
      <c r="AB103" s="3"/>
    </row>
    <row r="104" spans="1:28" x14ac:dyDescent="0.25">
      <c r="A104" s="52"/>
      <c r="B104" s="57"/>
      <c r="C104" s="8"/>
      <c r="D104" s="8"/>
      <c r="E104" s="8"/>
      <c r="F104" s="8"/>
      <c r="G104" s="8"/>
      <c r="H104" s="8"/>
      <c r="I104" s="8"/>
      <c r="J104" s="8"/>
      <c r="K104" s="8"/>
      <c r="L104" s="33"/>
      <c r="M104" s="8"/>
      <c r="N104" s="8"/>
      <c r="O104" s="8"/>
      <c r="P104" s="8"/>
      <c r="Q104" s="8"/>
      <c r="R104" s="8"/>
      <c r="S104" s="8"/>
      <c r="T104" s="8"/>
      <c r="U104" s="35"/>
      <c r="V104" s="8"/>
      <c r="W104" s="7"/>
      <c r="X104" s="7"/>
      <c r="Y104" s="7"/>
      <c r="Z104" s="7"/>
      <c r="AA104" s="7"/>
      <c r="AB104" s="3"/>
    </row>
    <row r="105" spans="1:28" x14ac:dyDescent="0.25">
      <c r="A105" s="52"/>
      <c r="B105" s="94"/>
      <c r="C105" s="8"/>
      <c r="D105" s="8"/>
      <c r="E105" s="8"/>
      <c r="F105" s="8"/>
      <c r="G105" s="8"/>
      <c r="H105" s="8"/>
      <c r="I105" s="8"/>
      <c r="J105" s="8"/>
      <c r="K105" s="15"/>
      <c r="L105" s="33"/>
      <c r="M105" s="8"/>
      <c r="N105" s="15"/>
      <c r="O105" s="8"/>
      <c r="P105" s="8"/>
      <c r="Q105" s="8"/>
      <c r="R105" s="8"/>
      <c r="S105" s="8"/>
      <c r="T105" s="8"/>
      <c r="U105" s="35"/>
      <c r="V105" s="8"/>
      <c r="W105" s="7"/>
      <c r="X105" s="7"/>
      <c r="Y105" s="7"/>
      <c r="Z105" s="7"/>
      <c r="AA105" s="7"/>
      <c r="AB105" s="3"/>
    </row>
    <row r="106" spans="1:28" x14ac:dyDescent="0.25">
      <c r="A106" s="52"/>
      <c r="B106" s="55"/>
      <c r="C106" s="8"/>
      <c r="D106" s="8"/>
      <c r="E106" s="8"/>
      <c r="F106" s="8"/>
      <c r="G106" s="8"/>
      <c r="H106" s="8"/>
      <c r="I106" s="8"/>
      <c r="J106" s="8"/>
      <c r="K106" s="15"/>
      <c r="L106" s="33"/>
      <c r="M106" s="8"/>
      <c r="N106" s="15"/>
      <c r="O106" s="8"/>
      <c r="P106" s="8"/>
      <c r="Q106" s="8"/>
      <c r="R106" s="8"/>
      <c r="S106" s="8"/>
      <c r="T106" s="8"/>
      <c r="U106" s="35"/>
      <c r="V106" s="8"/>
      <c r="W106" s="7"/>
      <c r="X106" s="7"/>
      <c r="Y106" s="7"/>
      <c r="Z106" s="7"/>
      <c r="AA106" s="7"/>
      <c r="AB106" s="3"/>
    </row>
    <row r="107" spans="1:28" x14ac:dyDescent="0.25">
      <c r="A107" s="82" t="s">
        <v>582</v>
      </c>
      <c r="B107" s="94" t="str">
        <f ca="1">MID(CELL("filename",$A$1),SEARCH("]",CELL("filename",$A$1))+1,31)</f>
        <v>Body</v>
      </c>
      <c r="C107" s="8"/>
      <c r="D107" s="8"/>
      <c r="E107" s="8"/>
      <c r="F107" s="8"/>
      <c r="G107" s="8"/>
      <c r="H107" s="8"/>
      <c r="I107" s="8"/>
      <c r="J107" s="8"/>
      <c r="K107" s="15"/>
      <c r="L107" s="33"/>
      <c r="M107" s="8"/>
      <c r="N107" s="15"/>
      <c r="O107" s="8"/>
      <c r="P107" s="8"/>
      <c r="Q107" s="8"/>
      <c r="R107" s="8"/>
      <c r="S107" s="8"/>
      <c r="T107" s="8"/>
      <c r="U107" s="35"/>
      <c r="V107" s="8"/>
      <c r="W107" s="7"/>
      <c r="X107" s="7"/>
      <c r="Y107" s="7"/>
      <c r="Z107" s="7"/>
      <c r="AA107" s="7"/>
      <c r="AB107" s="3"/>
    </row>
    <row r="108" spans="1:28" x14ac:dyDescent="0.25">
      <c r="A108" s="52"/>
      <c r="B108" s="55"/>
      <c r="C108" s="8"/>
      <c r="D108" s="8"/>
      <c r="E108" s="8"/>
      <c r="F108" s="8"/>
      <c r="G108" s="8"/>
      <c r="H108" s="8"/>
      <c r="I108" s="8"/>
      <c r="J108" s="8"/>
      <c r="K108" s="15"/>
      <c r="L108" s="33"/>
      <c r="M108" s="8"/>
      <c r="N108" s="15"/>
      <c r="O108" s="8"/>
      <c r="P108" s="8"/>
      <c r="Q108" s="8"/>
      <c r="R108" s="8"/>
      <c r="S108" s="8"/>
      <c r="T108" s="8"/>
      <c r="U108" s="35"/>
      <c r="V108" s="8"/>
      <c r="W108" s="7"/>
      <c r="X108" s="7"/>
      <c r="Y108" s="7"/>
      <c r="Z108" s="7"/>
      <c r="AA108" s="7"/>
      <c r="AB108" s="3"/>
    </row>
    <row r="109" spans="1:28" x14ac:dyDescent="0.25">
      <c r="A109" s="52"/>
      <c r="B109" s="55"/>
      <c r="C109" s="8"/>
      <c r="D109" s="8"/>
      <c r="E109" s="8"/>
      <c r="F109" s="8"/>
      <c r="G109" s="8"/>
      <c r="H109" s="8"/>
      <c r="I109" s="8"/>
      <c r="J109" s="8"/>
      <c r="K109" s="15"/>
      <c r="L109" s="33"/>
      <c r="M109" s="8"/>
      <c r="N109" s="15"/>
      <c r="O109" s="8"/>
      <c r="P109" s="8"/>
      <c r="Q109" s="8"/>
      <c r="R109" s="8"/>
      <c r="S109" s="8"/>
      <c r="T109" s="8"/>
      <c r="U109" s="35"/>
      <c r="V109" s="8"/>
      <c r="W109" s="7"/>
      <c r="X109" s="7"/>
      <c r="Y109" s="7"/>
      <c r="Z109" s="7"/>
      <c r="AA109" s="7"/>
      <c r="AB109" s="3"/>
    </row>
    <row r="110" spans="1:28" x14ac:dyDescent="0.25">
      <c r="A110" s="52"/>
      <c r="B110" s="55"/>
      <c r="C110" s="8"/>
      <c r="D110" s="8"/>
      <c r="E110" s="8"/>
      <c r="F110" s="8"/>
      <c r="G110" s="8"/>
      <c r="H110" s="8"/>
      <c r="I110" s="8"/>
      <c r="J110" s="8"/>
      <c r="K110" s="15"/>
      <c r="L110" s="33"/>
      <c r="M110" s="8"/>
      <c r="N110" s="15"/>
      <c r="O110" s="8"/>
      <c r="P110" s="8"/>
      <c r="Q110" s="8"/>
      <c r="R110" s="8"/>
      <c r="S110" s="8"/>
      <c r="T110" s="8"/>
      <c r="U110" s="35"/>
      <c r="V110" s="8"/>
      <c r="W110" s="7"/>
      <c r="X110" s="7"/>
      <c r="Y110" s="7"/>
      <c r="Z110" s="7"/>
      <c r="AA110" s="7"/>
      <c r="AB110" s="3"/>
    </row>
    <row r="111" spans="1:28" x14ac:dyDescent="0.25">
      <c r="A111" s="52"/>
      <c r="B111" s="55"/>
      <c r="C111" s="8"/>
      <c r="D111" s="8"/>
      <c r="E111" s="8"/>
      <c r="F111" s="8"/>
      <c r="G111" s="8"/>
      <c r="H111" s="8"/>
      <c r="I111" s="8"/>
      <c r="J111" s="8"/>
      <c r="K111" s="15"/>
      <c r="L111" s="33"/>
      <c r="M111" s="8"/>
      <c r="N111" s="15"/>
      <c r="O111" s="8"/>
      <c r="P111" s="8"/>
      <c r="Q111" s="8"/>
      <c r="R111" s="8"/>
      <c r="S111" s="8"/>
      <c r="T111" s="8"/>
      <c r="U111" s="35"/>
      <c r="V111" s="8"/>
      <c r="W111" s="7"/>
      <c r="X111" s="7"/>
      <c r="Y111" s="7"/>
      <c r="Z111" s="7"/>
      <c r="AA111" s="7"/>
      <c r="AB111" s="3"/>
    </row>
    <row r="112" spans="1:28" x14ac:dyDescent="0.25">
      <c r="A112" s="52"/>
      <c r="B112" s="55"/>
      <c r="C112" s="8"/>
      <c r="D112" s="8"/>
      <c r="E112" s="8"/>
      <c r="F112" s="8"/>
      <c r="G112" s="8"/>
      <c r="H112" s="8"/>
      <c r="I112" s="8"/>
      <c r="J112" s="8"/>
      <c r="K112" s="15"/>
      <c r="L112" s="33"/>
      <c r="M112" s="8"/>
      <c r="N112" s="15"/>
      <c r="O112" s="8"/>
      <c r="P112" s="8"/>
      <c r="Q112" s="8"/>
      <c r="R112" s="8"/>
      <c r="S112" s="8"/>
      <c r="T112" s="8"/>
      <c r="U112" s="35"/>
      <c r="V112" s="8"/>
      <c r="W112" s="7"/>
      <c r="X112" s="7"/>
      <c r="Y112" s="7"/>
      <c r="Z112" s="7"/>
      <c r="AA112" s="7"/>
      <c r="AB112" s="3"/>
    </row>
    <row r="113" spans="1:28" x14ac:dyDescent="0.25">
      <c r="A113" s="52"/>
      <c r="B113" s="55"/>
      <c r="C113" s="8"/>
      <c r="D113" s="8"/>
      <c r="E113" s="8"/>
      <c r="F113" s="8"/>
      <c r="G113" s="8"/>
      <c r="H113" s="8"/>
      <c r="I113" s="8"/>
      <c r="J113" s="36"/>
      <c r="K113" s="36"/>
      <c r="L113" s="33"/>
      <c r="M113" s="8"/>
      <c r="N113" s="15"/>
      <c r="O113" s="8"/>
      <c r="P113" s="8"/>
      <c r="Q113" s="8"/>
      <c r="R113" s="8"/>
      <c r="S113" s="8"/>
      <c r="T113" s="8"/>
      <c r="U113" s="35"/>
      <c r="V113" s="8"/>
      <c r="W113" s="7"/>
      <c r="X113" s="7"/>
      <c r="Y113" s="7"/>
      <c r="Z113" s="7"/>
      <c r="AA113" s="7"/>
      <c r="AB113" s="3"/>
    </row>
    <row r="114" spans="1:28" x14ac:dyDescent="0.25">
      <c r="A114" s="52"/>
      <c r="B114" s="55"/>
      <c r="C114" s="8"/>
      <c r="D114" s="8"/>
      <c r="E114" s="8"/>
      <c r="F114" s="8"/>
      <c r="G114" s="8"/>
      <c r="H114" s="8"/>
      <c r="I114" s="8"/>
      <c r="J114" s="8"/>
      <c r="K114" s="15"/>
      <c r="L114" s="33"/>
      <c r="M114" s="8"/>
      <c r="N114" s="15"/>
      <c r="O114" s="8"/>
      <c r="P114" s="8"/>
      <c r="Q114" s="8"/>
      <c r="R114" s="8"/>
      <c r="S114" s="8"/>
      <c r="T114" s="8"/>
      <c r="U114" s="35"/>
      <c r="V114" s="8"/>
      <c r="W114" s="7"/>
      <c r="X114" s="7"/>
      <c r="Y114" s="7"/>
      <c r="Z114" s="7"/>
      <c r="AA114" s="7"/>
      <c r="AB114" s="3"/>
    </row>
    <row r="115" spans="1:28" x14ac:dyDescent="0.25">
      <c r="A115" s="52"/>
      <c r="B115" s="55"/>
      <c r="C115" s="8"/>
      <c r="D115" s="8"/>
      <c r="E115" s="8"/>
      <c r="F115" s="8"/>
      <c r="G115" s="8"/>
      <c r="H115" s="8"/>
      <c r="I115" s="8"/>
      <c r="J115" s="8"/>
      <c r="K115" s="15"/>
      <c r="L115" s="33"/>
      <c r="M115" s="8"/>
      <c r="N115" s="15"/>
      <c r="O115" s="8"/>
      <c r="P115" s="8"/>
      <c r="Q115" s="8"/>
      <c r="R115" s="8"/>
      <c r="S115" s="29"/>
      <c r="T115" s="8"/>
      <c r="U115" s="35"/>
      <c r="V115" s="8"/>
      <c r="W115" s="7"/>
      <c r="X115" s="7"/>
      <c r="Y115" s="7"/>
      <c r="Z115" s="7"/>
      <c r="AA115" s="7"/>
      <c r="AB115" s="3"/>
    </row>
    <row r="116" spans="1:28" x14ac:dyDescent="0.25">
      <c r="A116" s="52"/>
      <c r="B116" s="55"/>
      <c r="C116" s="8"/>
      <c r="D116" s="8"/>
      <c r="E116" s="8"/>
      <c r="F116" s="8"/>
      <c r="G116" s="8"/>
      <c r="H116" s="8"/>
      <c r="I116" s="8"/>
      <c r="J116" s="8"/>
      <c r="K116" s="15"/>
      <c r="L116" s="33"/>
      <c r="M116" s="8"/>
      <c r="N116" s="15"/>
      <c r="O116" s="8"/>
      <c r="P116" s="8"/>
      <c r="Q116" s="8"/>
      <c r="R116" s="8"/>
      <c r="S116" s="8"/>
      <c r="T116" s="8"/>
      <c r="U116" s="35"/>
      <c r="V116" s="8"/>
      <c r="W116" s="7"/>
      <c r="X116" s="7"/>
      <c r="Y116" s="7"/>
      <c r="Z116" s="7"/>
      <c r="AA116" s="7"/>
      <c r="AB116" s="3"/>
    </row>
    <row r="117" spans="1:28" x14ac:dyDescent="0.25">
      <c r="A117" s="52"/>
      <c r="B117" s="55"/>
      <c r="C117" s="8"/>
      <c r="D117" s="8"/>
      <c r="E117" s="8"/>
      <c r="F117" s="8"/>
      <c r="G117" s="8"/>
      <c r="H117" s="8"/>
      <c r="I117" s="8"/>
      <c r="J117" s="8"/>
      <c r="K117" s="15"/>
      <c r="L117" s="33"/>
      <c r="M117" s="8"/>
      <c r="N117" s="15"/>
      <c r="O117" s="8"/>
      <c r="P117" s="8"/>
      <c r="Q117" s="8"/>
      <c r="R117" s="8"/>
      <c r="S117" s="8"/>
      <c r="T117" s="8"/>
      <c r="U117" s="35"/>
      <c r="V117" s="8"/>
      <c r="W117" s="7"/>
      <c r="X117" s="7"/>
      <c r="Y117" s="7"/>
      <c r="Z117" s="7"/>
      <c r="AA117" s="7"/>
      <c r="AB117" s="3"/>
    </row>
    <row r="118" spans="1:28" x14ac:dyDescent="0.25">
      <c r="A118" s="52"/>
      <c r="B118" s="55"/>
      <c r="C118" s="8"/>
      <c r="D118" s="8"/>
      <c r="E118" s="8"/>
      <c r="F118" s="8"/>
      <c r="G118" s="8"/>
      <c r="H118" s="8"/>
      <c r="I118" s="8"/>
      <c r="J118" s="8"/>
      <c r="K118" s="15"/>
      <c r="L118" s="33"/>
      <c r="M118" s="8"/>
      <c r="N118" s="15"/>
      <c r="O118" s="8"/>
      <c r="P118" s="8"/>
      <c r="Q118" s="8"/>
      <c r="R118" s="8"/>
      <c r="S118" s="8"/>
      <c r="T118" s="8"/>
      <c r="U118" s="35"/>
      <c r="V118" s="8"/>
      <c r="W118" s="7"/>
      <c r="X118" s="7"/>
      <c r="Y118" s="7"/>
      <c r="Z118" s="7"/>
      <c r="AA118" s="7"/>
      <c r="AB118" s="3"/>
    </row>
    <row r="119" spans="1:28" x14ac:dyDescent="0.25">
      <c r="A119" s="52"/>
      <c r="B119" s="57"/>
      <c r="C119" s="8"/>
      <c r="D119" s="8"/>
      <c r="E119" s="8"/>
      <c r="F119" s="8"/>
      <c r="G119" s="8"/>
      <c r="H119" s="8"/>
      <c r="I119" s="8"/>
      <c r="J119" s="8"/>
      <c r="K119" s="8"/>
      <c r="L119" s="33"/>
      <c r="M119" s="8"/>
      <c r="N119" s="8"/>
      <c r="O119" s="8"/>
      <c r="P119" s="8"/>
      <c r="Q119" s="8"/>
      <c r="R119" s="8"/>
      <c r="S119" s="8"/>
      <c r="T119" s="8"/>
      <c r="U119" s="35"/>
      <c r="V119" s="8"/>
      <c r="W119" s="7"/>
      <c r="X119" s="7"/>
      <c r="Y119" s="7"/>
      <c r="Z119" s="7"/>
      <c r="AA119" s="7"/>
      <c r="AB119" s="3"/>
    </row>
    <row r="120" spans="1:28" x14ac:dyDescent="0.25">
      <c r="A120" s="52"/>
      <c r="B120" s="57"/>
      <c r="C120" s="8"/>
      <c r="D120" s="8"/>
      <c r="E120" s="8"/>
      <c r="F120" s="8"/>
      <c r="G120" s="8"/>
      <c r="H120" s="8"/>
      <c r="I120" s="8"/>
      <c r="J120" s="8"/>
      <c r="K120" s="8"/>
      <c r="L120" s="33"/>
      <c r="M120" s="8"/>
      <c r="N120" s="8"/>
      <c r="O120" s="8"/>
      <c r="P120" s="8"/>
      <c r="Q120" s="8"/>
      <c r="R120" s="8"/>
      <c r="S120" s="8"/>
      <c r="T120" s="8"/>
      <c r="U120" s="35"/>
      <c r="V120" s="8"/>
      <c r="W120" s="7"/>
      <c r="X120" s="7"/>
      <c r="Y120" s="7"/>
      <c r="Z120" s="7"/>
      <c r="AA120" s="7"/>
      <c r="AB120" s="3"/>
    </row>
    <row r="121" spans="1:28" x14ac:dyDescent="0.25">
      <c r="A121" s="52"/>
      <c r="B121" s="57"/>
      <c r="C121" s="8"/>
      <c r="D121" s="8"/>
      <c r="E121" s="8"/>
      <c r="F121" s="8"/>
      <c r="G121" s="8"/>
      <c r="H121" s="8"/>
      <c r="I121" s="8"/>
      <c r="J121" s="8"/>
      <c r="K121" s="8"/>
      <c r="L121" s="33"/>
      <c r="M121" s="8"/>
      <c r="N121" s="8"/>
      <c r="O121" s="8"/>
      <c r="P121" s="8"/>
      <c r="Q121" s="8"/>
      <c r="R121" s="8"/>
      <c r="S121" s="8"/>
      <c r="T121" s="8"/>
      <c r="U121" s="35"/>
      <c r="V121" s="8"/>
      <c r="W121" s="7"/>
      <c r="X121" s="7"/>
      <c r="Y121" s="7"/>
      <c r="Z121" s="7"/>
      <c r="AA121" s="7"/>
      <c r="AB121" s="3"/>
    </row>
    <row r="122" spans="1:28" x14ac:dyDescent="0.25">
      <c r="A122" s="52"/>
      <c r="B122" s="57"/>
      <c r="C122" s="8"/>
      <c r="D122" s="8"/>
      <c r="E122" s="8"/>
      <c r="F122" s="8"/>
      <c r="G122" s="8"/>
      <c r="H122" s="8"/>
      <c r="I122" s="8"/>
      <c r="J122" s="8"/>
      <c r="K122" s="8"/>
      <c r="L122" s="33"/>
      <c r="M122" s="8"/>
      <c r="N122" s="8"/>
      <c r="O122" s="8"/>
      <c r="P122" s="8"/>
      <c r="Q122" s="8"/>
      <c r="R122" s="8"/>
      <c r="S122" s="8"/>
      <c r="T122" s="8"/>
      <c r="U122" s="35"/>
      <c r="V122" s="8"/>
      <c r="W122" s="7"/>
      <c r="X122" s="7"/>
      <c r="Y122" s="7"/>
      <c r="Z122" s="7"/>
      <c r="AA122" s="7"/>
      <c r="AB122" s="3"/>
    </row>
    <row r="123" spans="1:28" x14ac:dyDescent="0.25">
      <c r="A123" s="52"/>
      <c r="B123" s="57"/>
      <c r="C123" s="8"/>
      <c r="D123" s="8"/>
      <c r="E123" s="8"/>
      <c r="F123" s="8"/>
      <c r="G123" s="8"/>
      <c r="H123" s="8"/>
      <c r="I123" s="8"/>
      <c r="J123" s="8"/>
      <c r="K123" s="8"/>
      <c r="L123" s="33"/>
      <c r="M123" s="8"/>
      <c r="N123" s="8"/>
      <c r="O123" s="8"/>
      <c r="P123" s="8"/>
      <c r="Q123" s="8"/>
      <c r="R123" s="8"/>
      <c r="S123" s="8"/>
      <c r="T123" s="8"/>
      <c r="U123" s="35"/>
      <c r="V123" s="8"/>
      <c r="W123" s="7"/>
      <c r="X123" s="7"/>
      <c r="Y123" s="7"/>
      <c r="Z123" s="7"/>
      <c r="AA123" s="7"/>
      <c r="AB123" s="3"/>
    </row>
    <row r="124" spans="1:28" x14ac:dyDescent="0.25">
      <c r="A124" s="52"/>
      <c r="B124" s="57"/>
      <c r="C124" s="8"/>
      <c r="D124" s="8"/>
      <c r="E124" s="8"/>
      <c r="F124" s="8"/>
      <c r="G124" s="8"/>
      <c r="H124" s="8"/>
      <c r="I124" s="8"/>
      <c r="J124" s="8"/>
      <c r="K124" s="8"/>
      <c r="L124" s="33"/>
      <c r="M124" s="8"/>
      <c r="N124" s="8"/>
      <c r="O124" s="8"/>
      <c r="P124" s="8"/>
      <c r="Q124" s="8"/>
      <c r="R124" s="8"/>
      <c r="S124" s="8"/>
      <c r="T124" s="8"/>
      <c r="U124" s="35"/>
      <c r="V124" s="8"/>
      <c r="W124" s="7"/>
      <c r="X124" s="7"/>
      <c r="Y124" s="7"/>
      <c r="Z124" s="7"/>
      <c r="AA124" s="7"/>
      <c r="AB124" s="3"/>
    </row>
    <row r="125" spans="1:28" x14ac:dyDescent="0.25">
      <c r="A125" s="52"/>
      <c r="B125" s="57"/>
      <c r="C125" s="8"/>
      <c r="D125" s="8"/>
      <c r="E125" s="8"/>
      <c r="F125" s="8"/>
      <c r="G125" s="8"/>
      <c r="H125" s="8"/>
      <c r="I125" s="8"/>
      <c r="J125" s="8"/>
      <c r="K125" s="8"/>
      <c r="L125" s="33"/>
      <c r="M125" s="8"/>
      <c r="N125" s="8"/>
      <c r="O125" s="8"/>
      <c r="P125" s="8"/>
      <c r="Q125" s="8"/>
      <c r="R125" s="8"/>
      <c r="S125" s="8"/>
      <c r="T125" s="8"/>
      <c r="U125" s="35"/>
      <c r="V125" s="8"/>
      <c r="W125" s="7"/>
      <c r="X125" s="7"/>
      <c r="Y125" s="7"/>
      <c r="Z125" s="7"/>
      <c r="AA125" s="7"/>
      <c r="AB125" s="3"/>
    </row>
    <row r="126" spans="1:28" x14ac:dyDescent="0.25">
      <c r="A126" s="52"/>
      <c r="B126" s="57"/>
      <c r="C126" s="8"/>
      <c r="D126" s="8"/>
      <c r="E126" s="8"/>
      <c r="F126" s="8"/>
      <c r="G126" s="8"/>
      <c r="H126" s="8"/>
      <c r="I126" s="8"/>
      <c r="J126" s="8"/>
      <c r="K126" s="8"/>
      <c r="L126" s="33"/>
      <c r="M126" s="8"/>
      <c r="N126" s="8"/>
      <c r="O126" s="8"/>
      <c r="P126" s="8"/>
      <c r="Q126" s="8"/>
      <c r="R126" s="8"/>
      <c r="S126" s="8"/>
      <c r="T126" s="8"/>
      <c r="U126" s="35"/>
      <c r="V126" s="8"/>
      <c r="W126" s="7"/>
      <c r="X126" s="7"/>
      <c r="Y126" s="7"/>
      <c r="Z126" s="7"/>
      <c r="AA126" s="7"/>
      <c r="AB126" s="3"/>
    </row>
    <row r="127" spans="1:28" x14ac:dyDescent="0.25">
      <c r="A127" s="52"/>
      <c r="B127" s="57"/>
      <c r="C127" s="8"/>
      <c r="D127" s="8"/>
      <c r="E127" s="8"/>
      <c r="F127" s="8"/>
      <c r="G127" s="8"/>
      <c r="H127" s="8"/>
      <c r="I127" s="8"/>
      <c r="J127" s="8"/>
      <c r="K127" s="8"/>
      <c r="L127" s="33"/>
      <c r="M127" s="8"/>
      <c r="N127" s="8"/>
      <c r="O127" s="8"/>
      <c r="P127" s="8"/>
      <c r="Q127" s="8"/>
      <c r="R127" s="8"/>
      <c r="S127" s="8"/>
      <c r="T127" s="8"/>
      <c r="U127" s="35"/>
      <c r="V127" s="8"/>
      <c r="W127" s="7"/>
      <c r="X127" s="7"/>
      <c r="Y127" s="7"/>
      <c r="Z127" s="7"/>
      <c r="AA127" s="7"/>
      <c r="AB127" s="3"/>
    </row>
    <row r="128" spans="1:28" x14ac:dyDescent="0.25">
      <c r="A128" s="52"/>
      <c r="B128" s="57"/>
      <c r="C128" s="8"/>
      <c r="D128" s="8"/>
      <c r="E128" s="8"/>
      <c r="F128" s="8"/>
      <c r="G128" s="8"/>
      <c r="H128" s="8"/>
      <c r="I128" s="8"/>
      <c r="J128" s="8"/>
      <c r="K128" s="8"/>
      <c r="L128" s="33"/>
      <c r="M128" s="8"/>
      <c r="N128" s="8"/>
      <c r="O128" s="8"/>
      <c r="P128" s="8"/>
      <c r="Q128" s="8"/>
      <c r="R128" s="8"/>
      <c r="S128" s="8"/>
      <c r="T128" s="8"/>
      <c r="U128" s="35"/>
      <c r="V128" s="8"/>
      <c r="W128" s="7"/>
      <c r="X128" s="7"/>
      <c r="Y128" s="7"/>
      <c r="Z128" s="7"/>
      <c r="AA128" s="7"/>
      <c r="AB128" s="3"/>
    </row>
    <row r="129" spans="1:28" x14ac:dyDescent="0.25">
      <c r="A129" s="52"/>
      <c r="B129" s="57"/>
      <c r="C129" s="8"/>
      <c r="D129" s="8"/>
      <c r="E129" s="8"/>
      <c r="F129" s="8"/>
      <c r="G129" s="8"/>
      <c r="H129" s="8"/>
      <c r="I129" s="8"/>
      <c r="J129" s="8"/>
      <c r="K129" s="8"/>
      <c r="L129" s="33"/>
      <c r="M129" s="8"/>
      <c r="N129" s="8"/>
      <c r="O129" s="8"/>
      <c r="P129" s="8"/>
      <c r="Q129" s="8"/>
      <c r="R129" s="8"/>
      <c r="S129" s="8"/>
      <c r="T129" s="8"/>
      <c r="U129" s="35"/>
      <c r="V129" s="8"/>
      <c r="W129" s="7"/>
      <c r="X129" s="7"/>
      <c r="Y129" s="7"/>
      <c r="Z129" s="7"/>
      <c r="AA129" s="7"/>
      <c r="AB129" s="3"/>
    </row>
    <row r="130" spans="1:28" x14ac:dyDescent="0.25">
      <c r="A130" s="52"/>
      <c r="B130" s="57"/>
      <c r="C130" s="8"/>
      <c r="D130" s="8"/>
      <c r="E130" s="8"/>
      <c r="F130" s="8"/>
      <c r="G130" s="8"/>
      <c r="H130" s="8"/>
      <c r="I130" s="8"/>
      <c r="J130" s="8"/>
      <c r="K130" s="8"/>
      <c r="L130" s="33"/>
      <c r="M130" s="8"/>
      <c r="N130" s="8"/>
      <c r="O130" s="8"/>
      <c r="P130" s="8"/>
      <c r="Q130" s="8"/>
      <c r="R130" s="8"/>
      <c r="S130" s="8"/>
      <c r="T130" s="8"/>
      <c r="U130" s="35"/>
      <c r="V130" s="8"/>
      <c r="W130" s="7"/>
      <c r="X130" s="7"/>
      <c r="Y130" s="7"/>
      <c r="Z130" s="7"/>
      <c r="AA130" s="7"/>
      <c r="AB130" s="3"/>
    </row>
    <row r="131" spans="1:28" x14ac:dyDescent="0.25">
      <c r="A131" s="52"/>
      <c r="B131" s="57"/>
      <c r="C131" s="8"/>
      <c r="D131" s="8"/>
      <c r="E131" s="8"/>
      <c r="F131" s="8"/>
      <c r="G131" s="8"/>
      <c r="H131" s="8"/>
      <c r="I131" s="8"/>
      <c r="J131" s="8"/>
      <c r="K131" s="8"/>
      <c r="L131" s="33"/>
      <c r="M131" s="8"/>
      <c r="N131" s="8"/>
      <c r="O131" s="8"/>
      <c r="P131" s="8"/>
      <c r="Q131" s="8"/>
      <c r="R131" s="8"/>
      <c r="S131" s="8"/>
      <c r="T131" s="8"/>
      <c r="U131" s="35"/>
      <c r="V131" s="8"/>
      <c r="W131" s="7"/>
      <c r="X131" s="7"/>
      <c r="Y131" s="7"/>
      <c r="Z131" s="7"/>
      <c r="AA131" s="7"/>
      <c r="AB131" s="3"/>
    </row>
    <row r="132" spans="1:28" x14ac:dyDescent="0.25">
      <c r="A132" s="52"/>
      <c r="B132" s="57"/>
      <c r="C132" s="8"/>
      <c r="D132" s="8"/>
      <c r="E132" s="8"/>
      <c r="F132" s="8"/>
      <c r="G132" s="8"/>
      <c r="H132" s="8"/>
      <c r="I132" s="8"/>
      <c r="J132" s="8"/>
      <c r="K132" s="8"/>
      <c r="L132" s="33"/>
      <c r="M132" s="8"/>
      <c r="N132" s="8"/>
      <c r="O132" s="8"/>
      <c r="P132" s="8"/>
      <c r="Q132" s="8"/>
      <c r="R132" s="8"/>
      <c r="S132" s="8"/>
      <c r="T132" s="8"/>
      <c r="U132" s="35"/>
      <c r="V132" s="8"/>
      <c r="W132" s="7"/>
      <c r="X132" s="7"/>
      <c r="Y132" s="7"/>
      <c r="Z132" s="7"/>
      <c r="AA132" s="7"/>
      <c r="AB132" s="3"/>
    </row>
    <row r="133" spans="1:28" x14ac:dyDescent="0.25">
      <c r="A133" s="52"/>
      <c r="B133" s="57"/>
      <c r="C133" s="8"/>
      <c r="D133" s="8"/>
      <c r="E133" s="8"/>
      <c r="F133" s="8"/>
      <c r="G133" s="8"/>
      <c r="H133" s="8"/>
      <c r="I133" s="8"/>
      <c r="J133" s="8"/>
      <c r="K133" s="8"/>
      <c r="L133" s="33"/>
      <c r="M133" s="8"/>
      <c r="N133" s="8"/>
      <c r="O133" s="8"/>
      <c r="P133" s="8"/>
      <c r="Q133" s="8"/>
      <c r="R133" s="8"/>
      <c r="S133" s="8"/>
      <c r="T133" s="8"/>
      <c r="U133" s="35"/>
      <c r="V133" s="8"/>
      <c r="W133" s="7"/>
      <c r="X133" s="7"/>
      <c r="Y133" s="7"/>
      <c r="Z133" s="7"/>
      <c r="AA133" s="7"/>
      <c r="AB133" s="3"/>
    </row>
    <row r="134" spans="1:28" x14ac:dyDescent="0.25">
      <c r="A134" s="52"/>
      <c r="B134" s="57"/>
      <c r="C134" s="8"/>
      <c r="D134" s="8"/>
      <c r="E134" s="8"/>
      <c r="F134" s="8"/>
      <c r="G134" s="8"/>
      <c r="H134" s="8"/>
      <c r="I134" s="8"/>
      <c r="J134" s="8"/>
      <c r="K134" s="8"/>
      <c r="L134" s="33"/>
      <c r="M134" s="8"/>
      <c r="N134" s="8"/>
      <c r="O134" s="8"/>
      <c r="P134" s="8"/>
      <c r="Q134" s="8"/>
      <c r="R134" s="8"/>
      <c r="S134" s="8"/>
      <c r="T134" s="8"/>
      <c r="U134" s="35"/>
      <c r="V134" s="8"/>
      <c r="W134" s="7"/>
      <c r="X134" s="7"/>
      <c r="Y134" s="7"/>
      <c r="Z134" s="7"/>
      <c r="AA134" s="7"/>
      <c r="AB134" s="3"/>
    </row>
    <row r="135" spans="1:28" x14ac:dyDescent="0.25">
      <c r="A135" s="52"/>
      <c r="B135" s="57"/>
      <c r="C135" s="8"/>
      <c r="D135" s="8"/>
      <c r="E135" s="8"/>
      <c r="F135" s="8"/>
      <c r="G135" s="8"/>
      <c r="H135" s="8"/>
      <c r="I135" s="8"/>
      <c r="J135" s="8"/>
      <c r="K135" s="8"/>
      <c r="L135" s="33"/>
      <c r="M135" s="8"/>
      <c r="N135" s="8"/>
      <c r="O135" s="8"/>
      <c r="P135" s="8"/>
      <c r="Q135" s="8"/>
      <c r="R135" s="8"/>
      <c r="S135" s="8"/>
      <c r="T135" s="8"/>
      <c r="U135" s="35"/>
      <c r="V135" s="8"/>
      <c r="W135" s="7"/>
      <c r="X135" s="7"/>
      <c r="Y135" s="7"/>
      <c r="Z135" s="7"/>
      <c r="AA135" s="7"/>
      <c r="AB135" s="3"/>
    </row>
    <row r="136" spans="1:28" x14ac:dyDescent="0.25">
      <c r="A136" s="52"/>
      <c r="B136" s="57"/>
      <c r="C136" s="8"/>
      <c r="D136" s="8"/>
      <c r="E136" s="8"/>
      <c r="F136" s="8"/>
      <c r="G136" s="8"/>
      <c r="H136" s="8"/>
      <c r="I136" s="8"/>
      <c r="J136" s="8"/>
      <c r="K136" s="8"/>
      <c r="L136" s="33"/>
      <c r="M136" s="8"/>
      <c r="N136" s="8"/>
      <c r="O136" s="8"/>
      <c r="P136" s="8"/>
      <c r="Q136" s="8"/>
      <c r="R136" s="8"/>
      <c r="S136" s="8"/>
      <c r="T136" s="8"/>
      <c r="U136" s="35"/>
      <c r="V136" s="8"/>
      <c r="W136" s="7"/>
      <c r="X136" s="7"/>
      <c r="Y136" s="7"/>
      <c r="Z136" s="7"/>
      <c r="AA136" s="7"/>
      <c r="AB136" s="3"/>
    </row>
    <row r="137" spans="1:28" x14ac:dyDescent="0.25">
      <c r="A137" s="52"/>
      <c r="B137" s="57"/>
      <c r="C137" s="8"/>
      <c r="D137" s="8"/>
      <c r="E137" s="8"/>
      <c r="F137" s="8"/>
      <c r="G137" s="8"/>
      <c r="H137" s="8"/>
      <c r="I137" s="8"/>
      <c r="J137" s="8"/>
      <c r="K137" s="8"/>
      <c r="L137" s="33"/>
      <c r="M137" s="8"/>
      <c r="N137" s="8"/>
      <c r="O137" s="8"/>
      <c r="P137" s="8"/>
      <c r="Q137" s="8"/>
      <c r="R137" s="8"/>
      <c r="S137" s="8"/>
      <c r="T137" s="8"/>
      <c r="U137" s="35"/>
      <c r="V137" s="8"/>
      <c r="W137" s="7"/>
      <c r="X137" s="7"/>
      <c r="Y137" s="7"/>
      <c r="Z137" s="7"/>
      <c r="AA137" s="7"/>
      <c r="AB137" s="3"/>
    </row>
    <row r="138" spans="1:28" x14ac:dyDescent="0.25">
      <c r="A138" s="52"/>
      <c r="B138" s="57"/>
      <c r="C138" s="8"/>
      <c r="D138" s="8"/>
      <c r="E138" s="8"/>
      <c r="F138" s="8"/>
      <c r="G138" s="8"/>
      <c r="H138" s="8"/>
      <c r="I138" s="8"/>
      <c r="J138" s="8"/>
      <c r="K138" s="8"/>
      <c r="L138" s="33"/>
      <c r="M138" s="8"/>
      <c r="N138" s="8"/>
      <c r="O138" s="8"/>
      <c r="P138" s="8"/>
      <c r="Q138" s="8"/>
      <c r="R138" s="8"/>
      <c r="S138" s="8"/>
      <c r="T138" s="8"/>
      <c r="U138" s="35"/>
      <c r="V138" s="8"/>
      <c r="W138" s="7"/>
      <c r="X138" s="7"/>
      <c r="Y138" s="7"/>
      <c r="Z138" s="7"/>
      <c r="AA138" s="7"/>
      <c r="AB138" s="3"/>
    </row>
    <row r="139" spans="1:28" x14ac:dyDescent="0.25">
      <c r="A139" s="52"/>
      <c r="B139" s="57"/>
      <c r="C139" s="8"/>
      <c r="D139" s="8"/>
      <c r="E139" s="8"/>
      <c r="F139" s="8"/>
      <c r="G139" s="8"/>
      <c r="H139" s="8"/>
      <c r="I139" s="8"/>
      <c r="J139" s="8"/>
      <c r="K139" s="8"/>
      <c r="L139" s="33"/>
      <c r="M139" s="8"/>
      <c r="N139" s="8"/>
      <c r="O139" s="8"/>
      <c r="P139" s="8"/>
      <c r="Q139" s="8"/>
      <c r="R139" s="8"/>
      <c r="S139" s="8"/>
      <c r="T139" s="8"/>
      <c r="U139" s="35"/>
      <c r="V139" s="8"/>
      <c r="W139" s="7"/>
      <c r="X139" s="7"/>
      <c r="Y139" s="7"/>
      <c r="Z139" s="7"/>
      <c r="AA139" s="7"/>
      <c r="AB139" s="3"/>
    </row>
    <row r="140" spans="1:28" x14ac:dyDescent="0.25">
      <c r="A140" s="52"/>
      <c r="B140" s="57"/>
      <c r="C140" s="8"/>
      <c r="D140" s="8"/>
      <c r="E140" s="8"/>
      <c r="F140" s="8"/>
      <c r="G140" s="8"/>
      <c r="H140" s="8"/>
      <c r="I140" s="8"/>
      <c r="J140" s="8"/>
      <c r="K140" s="8"/>
      <c r="L140" s="33"/>
      <c r="M140" s="8"/>
      <c r="N140" s="8"/>
      <c r="O140" s="8"/>
      <c r="P140" s="8"/>
      <c r="Q140" s="8"/>
      <c r="R140" s="8"/>
      <c r="S140" s="8"/>
      <c r="T140" s="8"/>
      <c r="U140" s="35"/>
      <c r="V140" s="8"/>
      <c r="W140" s="7"/>
      <c r="X140" s="7"/>
      <c r="Y140" s="7"/>
      <c r="Z140" s="7"/>
      <c r="AA140" s="7"/>
      <c r="AB140" s="3"/>
    </row>
    <row r="141" spans="1:28" x14ac:dyDescent="0.25">
      <c r="A141" s="52"/>
      <c r="B141" s="57"/>
      <c r="C141" s="8"/>
      <c r="D141" s="8"/>
      <c r="E141" s="8"/>
      <c r="F141" s="8"/>
      <c r="G141" s="8"/>
      <c r="H141" s="8"/>
      <c r="I141" s="8"/>
      <c r="J141" s="8"/>
      <c r="K141" s="8"/>
      <c r="L141" s="33"/>
      <c r="M141" s="8"/>
      <c r="N141" s="8"/>
      <c r="O141" s="8"/>
      <c r="P141" s="8"/>
      <c r="Q141" s="8"/>
      <c r="R141" s="8"/>
      <c r="S141" s="8"/>
      <c r="T141" s="8"/>
      <c r="U141" s="35"/>
      <c r="V141" s="8"/>
      <c r="W141" s="7"/>
      <c r="X141" s="7"/>
      <c r="Y141" s="7"/>
      <c r="Z141" s="7"/>
      <c r="AA141" s="7"/>
      <c r="AB141" s="3"/>
    </row>
    <row r="142" spans="1:28" x14ac:dyDescent="0.25">
      <c r="A142" s="52"/>
      <c r="B142" s="57"/>
      <c r="C142" s="8"/>
      <c r="D142" s="8"/>
      <c r="E142" s="8"/>
      <c r="F142" s="8"/>
      <c r="G142" s="8"/>
      <c r="H142" s="8"/>
      <c r="I142" s="8"/>
      <c r="J142" s="8"/>
      <c r="K142" s="8"/>
      <c r="L142" s="33"/>
      <c r="M142" s="8"/>
      <c r="N142" s="8"/>
      <c r="O142" s="8"/>
      <c r="P142" s="8"/>
      <c r="Q142" s="8"/>
      <c r="R142" s="8"/>
      <c r="S142" s="8"/>
      <c r="T142" s="8"/>
      <c r="U142" s="35"/>
      <c r="V142" s="8"/>
      <c r="W142" s="7"/>
      <c r="X142" s="7"/>
      <c r="Y142" s="7"/>
      <c r="Z142" s="7"/>
      <c r="AA142" s="7"/>
      <c r="AB142" s="3"/>
    </row>
    <row r="143" spans="1:28" x14ac:dyDescent="0.25">
      <c r="A143" s="52"/>
      <c r="B143" s="57"/>
      <c r="C143" s="8"/>
      <c r="D143" s="8"/>
      <c r="E143" s="8"/>
      <c r="F143" s="8"/>
      <c r="G143" s="8"/>
      <c r="H143" s="8"/>
      <c r="I143" s="8"/>
      <c r="J143" s="8"/>
      <c r="K143" s="8"/>
      <c r="L143" s="33"/>
      <c r="M143" s="8"/>
      <c r="N143" s="8"/>
      <c r="O143" s="8"/>
      <c r="P143" s="8"/>
      <c r="Q143" s="8"/>
      <c r="R143" s="8"/>
      <c r="S143" s="8"/>
      <c r="T143" s="8"/>
      <c r="U143" s="35"/>
      <c r="V143" s="8"/>
      <c r="W143" s="7"/>
      <c r="X143" s="7"/>
      <c r="Y143" s="7"/>
      <c r="Z143" s="7"/>
      <c r="AA143" s="7"/>
      <c r="AB143" s="3"/>
    </row>
    <row r="144" spans="1:28" x14ac:dyDescent="0.25">
      <c r="A144" s="52"/>
      <c r="B144" s="57"/>
      <c r="C144" s="8"/>
      <c r="D144" s="8"/>
      <c r="E144" s="8"/>
      <c r="F144" s="8"/>
      <c r="G144" s="8"/>
      <c r="H144" s="8"/>
      <c r="I144" s="8"/>
      <c r="J144" s="8"/>
      <c r="K144" s="8"/>
      <c r="L144" s="33"/>
      <c r="M144" s="8"/>
      <c r="N144" s="8"/>
      <c r="O144" s="8"/>
      <c r="P144" s="8"/>
      <c r="Q144" s="8"/>
      <c r="R144" s="8"/>
      <c r="S144" s="8"/>
      <c r="T144" s="8"/>
      <c r="U144" s="35"/>
      <c r="V144" s="8"/>
      <c r="W144" s="7"/>
      <c r="X144" s="7"/>
      <c r="Y144" s="7"/>
      <c r="Z144" s="7"/>
      <c r="AA144" s="7"/>
      <c r="AB144" s="3"/>
    </row>
    <row r="145" spans="1:28" x14ac:dyDescent="0.25">
      <c r="A145" s="52"/>
      <c r="B145" s="57"/>
      <c r="C145" s="8"/>
      <c r="D145" s="8"/>
      <c r="E145" s="8"/>
      <c r="F145" s="8"/>
      <c r="G145" s="8"/>
      <c r="H145" s="8"/>
      <c r="I145" s="8"/>
      <c r="J145" s="8"/>
      <c r="K145" s="8"/>
      <c r="L145" s="33"/>
      <c r="M145" s="8"/>
      <c r="N145" s="8"/>
      <c r="O145" s="8"/>
      <c r="P145" s="8"/>
      <c r="Q145" s="8"/>
      <c r="R145" s="8"/>
      <c r="S145" s="8"/>
      <c r="T145" s="8"/>
      <c r="U145" s="35"/>
      <c r="V145" s="8"/>
      <c r="W145" s="7"/>
      <c r="X145" s="7"/>
      <c r="Y145" s="7"/>
      <c r="Z145" s="7"/>
      <c r="AA145" s="7"/>
      <c r="AB145" s="3"/>
    </row>
    <row r="146" spans="1:28" x14ac:dyDescent="0.25">
      <c r="A146" s="52"/>
      <c r="B146" s="57"/>
      <c r="C146" s="8"/>
      <c r="D146" s="8"/>
      <c r="E146" s="8"/>
      <c r="F146" s="8"/>
      <c r="G146" s="8"/>
      <c r="H146" s="8"/>
      <c r="I146" s="8"/>
      <c r="J146" s="8"/>
      <c r="K146" s="8"/>
      <c r="L146" s="33"/>
      <c r="M146" s="8"/>
      <c r="N146" s="8"/>
      <c r="O146" s="8"/>
      <c r="P146" s="8"/>
      <c r="Q146" s="8"/>
      <c r="R146" s="8"/>
      <c r="S146" s="8"/>
      <c r="T146" s="8"/>
      <c r="U146" s="35"/>
      <c r="V146" s="8"/>
      <c r="W146" s="7"/>
      <c r="X146" s="7"/>
      <c r="Y146" s="7"/>
      <c r="Z146" s="7"/>
      <c r="AA146" s="7"/>
      <c r="AB146" s="3"/>
    </row>
    <row r="147" spans="1:28" x14ac:dyDescent="0.25">
      <c r="A147" s="52"/>
      <c r="B147" s="57"/>
      <c r="C147" s="8"/>
      <c r="D147" s="8"/>
      <c r="E147" s="8"/>
      <c r="F147" s="8"/>
      <c r="G147" s="8"/>
      <c r="H147" s="8"/>
      <c r="I147" s="8"/>
      <c r="J147" s="8"/>
      <c r="K147" s="8"/>
      <c r="L147" s="33"/>
      <c r="M147" s="8"/>
      <c r="N147" s="8"/>
      <c r="O147" s="8"/>
      <c r="P147" s="8"/>
      <c r="Q147" s="8"/>
      <c r="R147" s="8"/>
      <c r="S147" s="8"/>
      <c r="T147" s="8"/>
      <c r="U147" s="35"/>
      <c r="V147" s="8"/>
      <c r="W147" s="7"/>
      <c r="X147" s="7"/>
      <c r="Y147" s="7"/>
      <c r="Z147" s="7"/>
      <c r="AA147" s="7"/>
      <c r="AB147" s="3"/>
    </row>
    <row r="148" spans="1:28" x14ac:dyDescent="0.25">
      <c r="A148" s="52"/>
      <c r="B148" s="57"/>
      <c r="C148" s="8"/>
      <c r="D148" s="8"/>
      <c r="E148" s="8"/>
      <c r="F148" s="8"/>
      <c r="G148" s="8"/>
      <c r="H148" s="8"/>
      <c r="I148" s="8"/>
      <c r="J148" s="8"/>
      <c r="K148" s="8"/>
      <c r="L148" s="33"/>
      <c r="M148" s="8"/>
      <c r="N148" s="8"/>
      <c r="O148" s="8"/>
      <c r="P148" s="8"/>
      <c r="Q148" s="8"/>
      <c r="R148" s="8"/>
      <c r="S148" s="8"/>
      <c r="T148" s="8"/>
      <c r="U148" s="35"/>
      <c r="V148" s="8"/>
      <c r="W148" s="7"/>
      <c r="X148" s="7"/>
      <c r="Y148" s="7"/>
      <c r="Z148" s="7"/>
      <c r="AA148" s="7"/>
      <c r="AB148" s="3"/>
    </row>
    <row r="149" spans="1:28" x14ac:dyDescent="0.25">
      <c r="A149" s="52"/>
      <c r="B149" s="57"/>
      <c r="C149" s="8"/>
      <c r="D149" s="8"/>
      <c r="E149" s="8"/>
      <c r="F149" s="8"/>
      <c r="G149" s="8"/>
      <c r="H149" s="8"/>
      <c r="I149" s="8"/>
      <c r="J149" s="8"/>
      <c r="K149" s="8"/>
      <c r="L149" s="33"/>
      <c r="M149" s="8"/>
      <c r="N149" s="8"/>
      <c r="O149" s="8"/>
      <c r="P149" s="8"/>
      <c r="Q149" s="8"/>
      <c r="R149" s="8"/>
      <c r="S149" s="8"/>
      <c r="T149" s="8"/>
      <c r="U149" s="35"/>
      <c r="V149" s="8"/>
      <c r="W149" s="7"/>
      <c r="X149" s="7"/>
      <c r="Y149" s="7"/>
      <c r="Z149" s="7"/>
      <c r="AA149" s="7"/>
      <c r="AB149" s="3"/>
    </row>
    <row r="150" spans="1:28" x14ac:dyDescent="0.25">
      <c r="A150" s="52"/>
      <c r="B150" s="57"/>
      <c r="C150" s="8"/>
      <c r="D150" s="8"/>
      <c r="E150" s="8"/>
      <c r="F150" s="8"/>
      <c r="G150" s="8"/>
      <c r="H150" s="8"/>
      <c r="I150" s="8"/>
      <c r="J150" s="8"/>
      <c r="K150" s="8"/>
      <c r="L150" s="33"/>
      <c r="M150" s="8"/>
      <c r="N150" s="8"/>
      <c r="O150" s="8"/>
      <c r="P150" s="8"/>
      <c r="Q150" s="8"/>
      <c r="R150" s="8"/>
      <c r="S150" s="8"/>
      <c r="T150" s="8"/>
      <c r="U150" s="35"/>
      <c r="V150" s="8"/>
      <c r="W150" s="7"/>
      <c r="X150" s="7"/>
      <c r="Y150" s="7"/>
      <c r="Z150" s="7"/>
      <c r="AA150" s="7"/>
      <c r="AB150" s="3"/>
    </row>
    <row r="151" spans="1:28" x14ac:dyDescent="0.25">
      <c r="A151" s="52"/>
      <c r="B151" s="57"/>
      <c r="C151" s="8"/>
      <c r="D151" s="8"/>
      <c r="E151" s="8"/>
      <c r="F151" s="8"/>
      <c r="G151" s="8"/>
      <c r="H151" s="8"/>
      <c r="I151" s="8"/>
      <c r="J151" s="8"/>
      <c r="K151" s="8"/>
      <c r="L151" s="33"/>
      <c r="M151" s="8"/>
      <c r="N151" s="8"/>
      <c r="O151" s="8"/>
      <c r="P151" s="8"/>
      <c r="Q151" s="8"/>
      <c r="R151" s="8"/>
      <c r="S151" s="8"/>
      <c r="T151" s="8"/>
      <c r="U151" s="35"/>
      <c r="V151" s="8"/>
      <c r="W151" s="7"/>
      <c r="X151" s="7"/>
      <c r="Y151" s="7"/>
      <c r="Z151" s="7"/>
      <c r="AA151" s="7"/>
      <c r="AB151" s="3"/>
    </row>
    <row r="152" spans="1:28" x14ac:dyDescent="0.25">
      <c r="A152" s="52"/>
      <c r="B152" s="57"/>
      <c r="C152" s="8"/>
      <c r="D152" s="8"/>
      <c r="E152" s="8"/>
      <c r="F152" s="8"/>
      <c r="G152" s="8"/>
      <c r="H152" s="8"/>
      <c r="I152" s="8"/>
      <c r="J152" s="8"/>
      <c r="K152" s="8"/>
      <c r="L152" s="33"/>
      <c r="M152" s="8"/>
      <c r="N152" s="8"/>
      <c r="O152" s="8"/>
      <c r="P152" s="8"/>
      <c r="Q152" s="8"/>
      <c r="R152" s="8"/>
      <c r="S152" s="8"/>
      <c r="T152" s="8"/>
      <c r="U152" s="35"/>
      <c r="V152" s="8"/>
      <c r="W152" s="7"/>
      <c r="X152" s="7"/>
      <c r="Y152" s="7"/>
      <c r="Z152" s="7"/>
      <c r="AA152" s="7"/>
      <c r="AB152" s="3"/>
    </row>
    <row r="153" spans="1:28" x14ac:dyDescent="0.25">
      <c r="A153" s="52"/>
      <c r="B153" s="57"/>
      <c r="C153" s="8"/>
      <c r="D153" s="8"/>
      <c r="E153" s="8"/>
      <c r="F153" s="8"/>
      <c r="G153" s="8"/>
      <c r="H153" s="8"/>
      <c r="I153" s="8"/>
      <c r="J153" s="8"/>
      <c r="K153" s="8"/>
      <c r="L153" s="33"/>
      <c r="M153" s="8"/>
      <c r="N153" s="8"/>
      <c r="O153" s="8"/>
      <c r="P153" s="8"/>
      <c r="Q153" s="8"/>
      <c r="R153" s="8"/>
      <c r="S153" s="8"/>
      <c r="T153" s="8"/>
      <c r="U153" s="35"/>
      <c r="V153" s="8"/>
      <c r="W153" s="7"/>
      <c r="X153" s="7"/>
      <c r="Y153" s="7"/>
      <c r="Z153" s="7"/>
      <c r="AA153" s="7"/>
      <c r="AB153" s="3"/>
    </row>
    <row r="154" spans="1:28" x14ac:dyDescent="0.25">
      <c r="A154" s="52"/>
      <c r="B154" s="57"/>
      <c r="C154" s="8"/>
      <c r="D154" s="8"/>
      <c r="E154" s="8"/>
      <c r="F154" s="8"/>
      <c r="G154" s="8"/>
      <c r="H154" s="8"/>
      <c r="I154" s="8"/>
      <c r="J154" s="8"/>
      <c r="K154" s="8"/>
      <c r="L154" s="33"/>
      <c r="M154" s="8"/>
      <c r="N154" s="8"/>
      <c r="O154" s="8"/>
      <c r="P154" s="8"/>
      <c r="Q154" s="8"/>
      <c r="R154" s="8"/>
      <c r="S154" s="8"/>
      <c r="T154" s="8"/>
      <c r="U154" s="35"/>
      <c r="V154" s="8"/>
      <c r="W154" s="7"/>
      <c r="X154" s="7"/>
      <c r="Y154" s="7"/>
      <c r="Z154" s="7"/>
      <c r="AA154" s="7"/>
      <c r="AB154" s="3"/>
    </row>
    <row r="155" spans="1:28" x14ac:dyDescent="0.25">
      <c r="A155" s="52"/>
      <c r="B155" s="57"/>
      <c r="C155" s="8"/>
      <c r="D155" s="8"/>
      <c r="E155" s="8"/>
      <c r="F155" s="8"/>
      <c r="G155" s="8"/>
      <c r="H155" s="8"/>
      <c r="I155" s="8"/>
      <c r="J155" s="8"/>
      <c r="K155" s="8"/>
      <c r="L155" s="33"/>
      <c r="M155" s="8"/>
      <c r="N155" s="8"/>
      <c r="O155" s="8"/>
      <c r="P155" s="8"/>
      <c r="Q155" s="8"/>
      <c r="R155" s="8"/>
      <c r="S155" s="8"/>
      <c r="T155" s="8"/>
      <c r="U155" s="35"/>
      <c r="V155" s="8"/>
      <c r="W155" s="7"/>
      <c r="X155" s="7"/>
      <c r="Y155" s="7"/>
      <c r="Z155" s="7"/>
      <c r="AA155" s="7"/>
      <c r="AB155" s="3"/>
    </row>
    <row r="156" spans="1:28" x14ac:dyDescent="0.25">
      <c r="A156" s="52"/>
      <c r="B156" s="57"/>
      <c r="C156" s="8"/>
      <c r="D156" s="8"/>
      <c r="E156" s="8"/>
      <c r="F156" s="8"/>
      <c r="G156" s="8"/>
      <c r="H156" s="8"/>
      <c r="I156" s="8"/>
      <c r="J156" s="8"/>
      <c r="K156" s="8"/>
      <c r="L156" s="33"/>
      <c r="M156" s="8"/>
      <c r="N156" s="8"/>
      <c r="O156" s="8"/>
      <c r="P156" s="8"/>
      <c r="Q156" s="8"/>
      <c r="R156" s="8"/>
      <c r="S156" s="8"/>
      <c r="T156" s="8"/>
      <c r="U156" s="35"/>
      <c r="V156" s="8"/>
      <c r="W156" s="7"/>
      <c r="X156" s="7"/>
      <c r="Y156" s="7"/>
      <c r="Z156" s="7"/>
      <c r="AA156" s="7"/>
      <c r="AB156" s="3"/>
    </row>
    <row r="157" spans="1:28" x14ac:dyDescent="0.25">
      <c r="A157" s="52"/>
      <c r="B157" s="57"/>
      <c r="C157" s="8"/>
      <c r="D157" s="8"/>
      <c r="E157" s="8"/>
      <c r="F157" s="8"/>
      <c r="G157" s="8"/>
      <c r="H157" s="8"/>
      <c r="I157" s="8"/>
      <c r="J157" s="8"/>
      <c r="K157" s="8"/>
      <c r="L157" s="33"/>
      <c r="M157" s="8"/>
      <c r="N157" s="8"/>
      <c r="O157" s="8"/>
      <c r="P157" s="8"/>
      <c r="Q157" s="8"/>
      <c r="R157" s="8"/>
      <c r="S157" s="8"/>
      <c r="T157" s="8"/>
      <c r="U157" s="35"/>
      <c r="V157" s="8"/>
      <c r="W157" s="7"/>
      <c r="X157" s="7"/>
      <c r="Y157" s="7"/>
      <c r="Z157" s="7"/>
      <c r="AA157" s="7"/>
      <c r="AB157" s="3"/>
    </row>
    <row r="158" spans="1:28" x14ac:dyDescent="0.25">
      <c r="A158" s="52"/>
      <c r="B158" s="57"/>
      <c r="C158" s="8"/>
      <c r="D158" s="8"/>
      <c r="E158" s="8"/>
      <c r="F158" s="8"/>
      <c r="G158" s="8"/>
      <c r="H158" s="8"/>
      <c r="I158" s="8"/>
      <c r="J158" s="8"/>
      <c r="K158" s="8"/>
      <c r="L158" s="33"/>
      <c r="M158" s="8"/>
      <c r="N158" s="8"/>
      <c r="O158" s="8"/>
      <c r="P158" s="8"/>
      <c r="Q158" s="8"/>
      <c r="R158" s="8"/>
      <c r="S158" s="8"/>
      <c r="T158" s="8"/>
      <c r="U158" s="35"/>
      <c r="V158" s="8"/>
      <c r="W158" s="7"/>
      <c r="X158" s="7"/>
      <c r="Y158" s="7"/>
      <c r="Z158" s="7"/>
      <c r="AA158" s="7"/>
      <c r="AB158" s="3"/>
    </row>
    <row r="159" spans="1:28" x14ac:dyDescent="0.25">
      <c r="A159" s="52"/>
      <c r="B159" s="57"/>
      <c r="C159" s="8"/>
      <c r="D159" s="8"/>
      <c r="E159" s="8"/>
      <c r="F159" s="8"/>
      <c r="G159" s="8"/>
      <c r="H159" s="8"/>
      <c r="I159" s="8"/>
      <c r="J159" s="8"/>
      <c r="K159" s="8"/>
      <c r="L159" s="33"/>
      <c r="M159" s="8"/>
      <c r="N159" s="8"/>
      <c r="O159" s="8"/>
      <c r="P159" s="8"/>
      <c r="Q159" s="8"/>
      <c r="R159" s="8"/>
      <c r="S159" s="8"/>
      <c r="T159" s="8"/>
      <c r="U159" s="35"/>
      <c r="V159" s="8"/>
      <c r="W159" s="7"/>
      <c r="X159" s="7"/>
      <c r="Y159" s="7"/>
      <c r="Z159" s="7"/>
      <c r="AA159" s="7"/>
      <c r="AB159" s="3"/>
    </row>
    <row r="160" spans="1:28" x14ac:dyDescent="0.25">
      <c r="A160" s="52"/>
      <c r="B160" s="57"/>
      <c r="C160" s="8"/>
      <c r="D160" s="8"/>
      <c r="E160" s="8"/>
      <c r="F160" s="8"/>
      <c r="G160" s="8"/>
      <c r="H160" s="8"/>
      <c r="I160" s="8"/>
      <c r="J160" s="8"/>
      <c r="K160" s="8"/>
      <c r="L160" s="33"/>
      <c r="M160" s="8"/>
      <c r="N160" s="8"/>
      <c r="O160" s="8"/>
      <c r="P160" s="8"/>
      <c r="Q160" s="8"/>
      <c r="R160" s="8"/>
      <c r="S160" s="8"/>
      <c r="T160" s="8"/>
      <c r="U160" s="35"/>
      <c r="V160" s="8"/>
      <c r="W160" s="7"/>
      <c r="X160" s="7"/>
      <c r="Y160" s="7"/>
      <c r="Z160" s="7"/>
      <c r="AA160" s="7"/>
      <c r="AB160" s="3"/>
    </row>
    <row r="161" spans="1:28" x14ac:dyDescent="0.25">
      <c r="A161" s="52"/>
      <c r="B161" s="57"/>
      <c r="C161" s="8"/>
      <c r="D161" s="8"/>
      <c r="E161" s="8"/>
      <c r="F161" s="8"/>
      <c r="G161" s="8"/>
      <c r="H161" s="8"/>
      <c r="I161" s="8"/>
      <c r="J161" s="8"/>
      <c r="K161" s="8"/>
      <c r="L161" s="33"/>
      <c r="M161" s="8"/>
      <c r="N161" s="8"/>
      <c r="O161" s="8"/>
      <c r="P161" s="8"/>
      <c r="Q161" s="8"/>
      <c r="R161" s="8"/>
      <c r="S161" s="8"/>
      <c r="T161" s="8"/>
      <c r="U161" s="35"/>
      <c r="V161" s="8"/>
      <c r="W161" s="7"/>
      <c r="X161" s="7"/>
      <c r="Y161" s="7"/>
      <c r="Z161" s="7"/>
      <c r="AA161" s="7"/>
      <c r="AB161" s="3"/>
    </row>
    <row r="162" spans="1:28" x14ac:dyDescent="0.25">
      <c r="A162" s="52"/>
      <c r="B162" s="57"/>
      <c r="C162" s="8"/>
      <c r="D162" s="8"/>
      <c r="E162" s="8"/>
      <c r="F162" s="8"/>
      <c r="G162" s="8"/>
      <c r="H162" s="8"/>
      <c r="I162" s="8"/>
      <c r="J162" s="8"/>
      <c r="K162" s="8"/>
      <c r="L162" s="33"/>
      <c r="M162" s="8"/>
      <c r="N162" s="8"/>
      <c r="O162" s="8"/>
      <c r="P162" s="8"/>
      <c r="Q162" s="8"/>
      <c r="R162" s="8"/>
      <c r="S162" s="8"/>
      <c r="T162" s="8"/>
      <c r="U162" s="35"/>
      <c r="V162" s="8"/>
      <c r="W162" s="7"/>
      <c r="X162" s="7"/>
      <c r="Y162" s="7"/>
      <c r="Z162" s="7"/>
      <c r="AA162" s="7"/>
      <c r="AB162" s="3"/>
    </row>
    <row r="163" spans="1:28" x14ac:dyDescent="0.25">
      <c r="A163" s="52"/>
      <c r="B163" s="57"/>
      <c r="C163" s="8"/>
      <c r="D163" s="8"/>
      <c r="E163" s="8"/>
      <c r="F163" s="8"/>
      <c r="G163" s="8"/>
      <c r="H163" s="8"/>
      <c r="I163" s="8"/>
      <c r="J163" s="8"/>
      <c r="K163" s="8"/>
      <c r="L163" s="33"/>
      <c r="M163" s="8"/>
      <c r="N163" s="8"/>
      <c r="O163" s="8"/>
      <c r="P163" s="8"/>
      <c r="Q163" s="8"/>
      <c r="R163" s="8"/>
      <c r="S163" s="8"/>
      <c r="T163" s="8"/>
      <c r="U163" s="35"/>
      <c r="V163" s="8"/>
      <c r="W163" s="7"/>
      <c r="X163" s="7"/>
      <c r="Y163" s="7"/>
      <c r="Z163" s="7"/>
      <c r="AA163" s="7"/>
      <c r="AB163" s="3"/>
    </row>
    <row r="164" spans="1:28" x14ac:dyDescent="0.25">
      <c r="A164" s="52"/>
      <c r="B164" s="57"/>
      <c r="C164" s="8"/>
      <c r="D164" s="8"/>
      <c r="E164" s="8"/>
      <c r="F164" s="8"/>
      <c r="G164" s="8"/>
      <c r="H164" s="8"/>
      <c r="I164" s="8"/>
      <c r="J164" s="8"/>
      <c r="K164" s="8"/>
      <c r="L164" s="33"/>
      <c r="M164" s="8"/>
      <c r="N164" s="8"/>
      <c r="O164" s="8"/>
      <c r="P164" s="8"/>
      <c r="Q164" s="8"/>
      <c r="R164" s="8"/>
      <c r="S164" s="8"/>
      <c r="T164" s="8"/>
      <c r="U164" s="35"/>
      <c r="V164" s="8"/>
      <c r="W164" s="7"/>
      <c r="X164" s="7"/>
      <c r="Y164" s="7"/>
      <c r="Z164" s="7"/>
      <c r="AA164" s="7"/>
      <c r="AB164" s="3"/>
    </row>
    <row r="165" spans="1:28" x14ac:dyDescent="0.25">
      <c r="A165" s="52"/>
      <c r="B165" s="57"/>
      <c r="C165" s="8"/>
      <c r="D165" s="8"/>
      <c r="E165" s="8"/>
      <c r="F165" s="8"/>
      <c r="G165" s="8"/>
      <c r="H165" s="8"/>
      <c r="I165" s="8"/>
      <c r="J165" s="8"/>
      <c r="K165" s="8"/>
      <c r="L165" s="33"/>
      <c r="M165" s="8"/>
      <c r="N165" s="8"/>
      <c r="O165" s="8"/>
      <c r="P165" s="8"/>
      <c r="Q165" s="8"/>
      <c r="R165" s="8"/>
      <c r="S165" s="8"/>
      <c r="T165" s="8"/>
      <c r="U165" s="35"/>
      <c r="V165" s="8"/>
      <c r="W165" s="7"/>
      <c r="X165" s="7"/>
      <c r="Y165" s="7"/>
      <c r="Z165" s="7"/>
      <c r="AA165" s="7"/>
      <c r="AB165" s="3"/>
    </row>
    <row r="166" spans="1:28" x14ac:dyDescent="0.25">
      <c r="A166" s="52"/>
      <c r="B166" s="57"/>
      <c r="C166" s="8"/>
      <c r="D166" s="8"/>
      <c r="E166" s="8"/>
      <c r="F166" s="8"/>
      <c r="G166" s="8"/>
      <c r="H166" s="8"/>
      <c r="I166" s="8"/>
      <c r="J166" s="8"/>
      <c r="K166" s="8"/>
      <c r="L166" s="33"/>
      <c r="M166" s="8"/>
      <c r="N166" s="8"/>
      <c r="O166" s="8"/>
      <c r="P166" s="8"/>
      <c r="Q166" s="8"/>
      <c r="R166" s="8"/>
      <c r="S166" s="8"/>
      <c r="T166" s="8"/>
      <c r="U166" s="35"/>
      <c r="V166" s="8"/>
      <c r="W166" s="7"/>
      <c r="X166" s="7"/>
      <c r="Y166" s="7"/>
      <c r="Z166" s="7"/>
      <c r="AA166" s="7"/>
      <c r="AB166" s="3"/>
    </row>
    <row r="167" spans="1:28" x14ac:dyDescent="0.25">
      <c r="A167" s="52"/>
      <c r="B167" s="57"/>
      <c r="C167" s="8"/>
      <c r="D167" s="8"/>
      <c r="E167" s="8"/>
      <c r="F167" s="8"/>
      <c r="G167" s="8"/>
      <c r="H167" s="8"/>
      <c r="I167" s="8"/>
      <c r="J167" s="8"/>
      <c r="K167" s="8"/>
      <c r="L167" s="33"/>
      <c r="M167" s="8"/>
      <c r="N167" s="8"/>
      <c r="O167" s="8"/>
      <c r="P167" s="8"/>
      <c r="Q167" s="8"/>
      <c r="R167" s="8"/>
      <c r="S167" s="8"/>
      <c r="T167" s="8"/>
      <c r="U167" s="35"/>
      <c r="V167" s="8"/>
      <c r="W167" s="7"/>
      <c r="X167" s="7"/>
      <c r="Y167" s="7"/>
      <c r="Z167" s="7"/>
      <c r="AA167" s="7"/>
      <c r="AB167" s="3"/>
    </row>
    <row r="168" spans="1:28" x14ac:dyDescent="0.25">
      <c r="A168" s="52"/>
      <c r="B168" s="57"/>
      <c r="C168" s="8"/>
      <c r="D168" s="8"/>
      <c r="E168" s="8"/>
      <c r="F168" s="8"/>
      <c r="G168" s="8"/>
      <c r="H168" s="8"/>
      <c r="I168" s="8"/>
      <c r="J168" s="8"/>
      <c r="K168" s="8"/>
      <c r="L168" s="33"/>
      <c r="M168" s="8"/>
      <c r="N168" s="8"/>
      <c r="O168" s="8"/>
      <c r="P168" s="8"/>
      <c r="Q168" s="8"/>
      <c r="R168" s="8"/>
      <c r="S168" s="8"/>
      <c r="T168" s="8"/>
      <c r="U168" s="35"/>
      <c r="V168" s="8"/>
      <c r="W168" s="7"/>
      <c r="X168" s="7"/>
      <c r="Y168" s="7"/>
      <c r="Z168" s="7"/>
      <c r="AA168" s="7"/>
      <c r="AB168" s="3"/>
    </row>
    <row r="169" spans="1:28" x14ac:dyDescent="0.25">
      <c r="A169" s="52"/>
      <c r="B169" s="58"/>
      <c r="C169" s="8"/>
      <c r="D169" s="8"/>
      <c r="E169" s="29"/>
      <c r="F169" s="8"/>
      <c r="G169" s="8"/>
      <c r="H169" s="8"/>
      <c r="I169" s="8"/>
      <c r="J169" s="8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</row>
    <row r="170" spans="1:28" x14ac:dyDescent="0.25">
      <c r="A170" s="52"/>
      <c r="B170" s="59"/>
      <c r="C170" s="8"/>
      <c r="D170" s="8"/>
      <c r="E170" s="29"/>
      <c r="F170" s="8"/>
      <c r="G170" s="8"/>
      <c r="H170" s="8"/>
      <c r="I170" s="8"/>
      <c r="J170" s="8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</row>
    <row r="171" spans="1:28" x14ac:dyDescent="0.25">
      <c r="A171" s="52"/>
      <c r="B171" s="57"/>
      <c r="C171" s="8"/>
      <c r="D171" s="8"/>
      <c r="E171" s="29"/>
      <c r="F171" s="8"/>
      <c r="G171" s="8"/>
      <c r="H171" s="8"/>
      <c r="I171" s="8"/>
      <c r="J171" s="8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</row>
    <row r="172" spans="1:28" x14ac:dyDescent="0.25">
      <c r="A172" s="52"/>
      <c r="B172" s="57"/>
      <c r="C172" s="8"/>
      <c r="D172" s="8"/>
      <c r="E172" s="29"/>
      <c r="F172" s="8"/>
      <c r="G172" s="15"/>
      <c r="H172" s="8"/>
      <c r="I172" s="8"/>
      <c r="J172" s="8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</row>
    <row r="173" spans="1:28" x14ac:dyDescent="0.25">
      <c r="A173" s="53"/>
      <c r="B173" s="60"/>
      <c r="C173" s="8"/>
      <c r="D173" s="8"/>
      <c r="E173" s="29"/>
      <c r="F173" s="8"/>
      <c r="G173" s="15"/>
      <c r="H173" s="8"/>
      <c r="I173" s="8"/>
      <c r="J173" s="8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</row>
    <row r="174" spans="1:28" x14ac:dyDescent="0.25">
      <c r="A174" s="52"/>
      <c r="B174" s="58"/>
      <c r="C174" s="8"/>
      <c r="D174" s="8"/>
      <c r="E174" s="29"/>
      <c r="F174" s="8"/>
      <c r="G174" s="15"/>
      <c r="H174" s="8"/>
      <c r="I174" s="8"/>
      <c r="J174" s="8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</row>
    <row r="175" spans="1:28" x14ac:dyDescent="0.25">
      <c r="A175" s="52"/>
      <c r="B175" s="58"/>
      <c r="C175" s="8"/>
      <c r="D175" s="8"/>
      <c r="E175" s="29"/>
      <c r="F175" s="8"/>
      <c r="G175" s="8"/>
      <c r="H175" s="8"/>
      <c r="I175" s="8"/>
      <c r="J175" s="8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</row>
    <row r="176" spans="1:28" x14ac:dyDescent="0.25">
      <c r="A176" s="52"/>
      <c r="B176" s="58"/>
      <c r="C176" s="8"/>
      <c r="D176" s="8"/>
      <c r="E176" s="29"/>
      <c r="F176" s="8"/>
      <c r="G176" s="8"/>
      <c r="H176" s="8"/>
      <c r="I176" s="8"/>
      <c r="J176" s="8"/>
      <c r="K176" s="29"/>
      <c r="L176" s="29"/>
      <c r="M176" s="29"/>
      <c r="N176" s="28"/>
      <c r="O176" s="28"/>
      <c r="P176" s="28"/>
      <c r="Q176" s="29"/>
      <c r="R176" s="29"/>
      <c r="S176" s="29"/>
      <c r="T176" s="29"/>
      <c r="U176" s="29"/>
      <c r="V176" s="29"/>
    </row>
    <row r="177" spans="1:22" x14ac:dyDescent="0.25">
      <c r="A177" s="52"/>
      <c r="B177" s="58"/>
      <c r="C177" s="8"/>
      <c r="D177" s="8"/>
      <c r="E177" s="29"/>
      <c r="F177" s="8"/>
      <c r="G177" s="8"/>
      <c r="H177" s="8"/>
      <c r="I177" s="8"/>
      <c r="J177" s="8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</row>
    <row r="178" spans="1:22" x14ac:dyDescent="0.25">
      <c r="A178" s="52"/>
      <c r="B178" s="59"/>
      <c r="C178" s="8"/>
      <c r="D178" s="8"/>
      <c r="E178" s="29"/>
      <c r="F178" s="8"/>
      <c r="G178" s="8"/>
      <c r="H178" s="8"/>
      <c r="I178" s="8"/>
      <c r="J178" s="8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</row>
    <row r="179" spans="1:22" x14ac:dyDescent="0.25">
      <c r="A179" s="53"/>
      <c r="B179" s="60"/>
      <c r="C179" s="8"/>
      <c r="D179" s="8"/>
      <c r="E179" s="29"/>
      <c r="F179" s="8"/>
      <c r="G179" s="8"/>
      <c r="H179" s="8"/>
      <c r="I179" s="8"/>
      <c r="J179" s="8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</row>
    <row r="180" spans="1:22" x14ac:dyDescent="0.25">
      <c r="A180" s="52"/>
      <c r="B180" s="57"/>
      <c r="C180" s="8"/>
      <c r="D180" s="8"/>
      <c r="E180" s="29"/>
      <c r="F180" s="8"/>
      <c r="G180" s="8"/>
      <c r="H180" s="8"/>
      <c r="I180" s="8"/>
      <c r="J180" s="8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</row>
    <row r="181" spans="1:22" x14ac:dyDescent="0.25">
      <c r="A181" s="52"/>
      <c r="B181" s="57"/>
      <c r="C181" s="8"/>
      <c r="D181" s="8"/>
      <c r="E181" s="29"/>
      <c r="F181" s="29"/>
      <c r="G181" s="8"/>
      <c r="H181" s="8"/>
      <c r="I181" s="8"/>
      <c r="J181" s="8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</row>
    <row r="182" spans="1:22" x14ac:dyDescent="0.25">
      <c r="A182" s="52"/>
      <c r="B182" s="57"/>
      <c r="C182" s="8"/>
      <c r="D182" s="8"/>
      <c r="E182" s="29"/>
      <c r="F182" s="29"/>
      <c r="G182" s="8"/>
      <c r="H182" s="8"/>
      <c r="I182" s="8"/>
      <c r="J182" s="8"/>
      <c r="K182" s="29"/>
      <c r="N182" s="1"/>
      <c r="O182" s="1"/>
      <c r="P182" s="1"/>
      <c r="Q182" s="1"/>
      <c r="R182" s="1"/>
    </row>
    <row r="183" spans="1:22" x14ac:dyDescent="0.25">
      <c r="A183" s="52"/>
      <c r="B183" s="57"/>
      <c r="C183" s="8"/>
      <c r="D183" s="8"/>
      <c r="E183" s="29"/>
      <c r="F183" s="29"/>
      <c r="G183" s="29"/>
      <c r="H183" s="8"/>
      <c r="I183" s="8"/>
      <c r="J183" s="8"/>
      <c r="K183" s="29"/>
      <c r="N183" s="1"/>
      <c r="O183" s="1"/>
      <c r="P183" s="1"/>
      <c r="Q183" s="1"/>
      <c r="R183" s="1"/>
    </row>
    <row r="184" spans="1:22" x14ac:dyDescent="0.25">
      <c r="A184" s="52"/>
      <c r="B184" s="58"/>
      <c r="C184" s="8"/>
      <c r="D184" s="8"/>
      <c r="E184" s="29"/>
      <c r="F184" s="29"/>
      <c r="G184" s="29"/>
      <c r="H184" s="8"/>
      <c r="I184" s="8"/>
      <c r="J184" s="8"/>
      <c r="K184" s="29"/>
      <c r="N184" s="1"/>
      <c r="O184" s="1"/>
      <c r="P184" s="1"/>
      <c r="Q184" s="1"/>
      <c r="R184" s="1"/>
    </row>
    <row r="185" spans="1:22" x14ac:dyDescent="0.25">
      <c r="A185" s="52"/>
      <c r="B185" s="58"/>
      <c r="C185" s="8"/>
      <c r="D185" s="8"/>
      <c r="E185" s="29"/>
      <c r="F185" s="29"/>
      <c r="G185" s="29"/>
      <c r="H185" s="8"/>
      <c r="I185" s="8"/>
      <c r="J185" s="8"/>
      <c r="K185" s="29"/>
      <c r="N185" s="1"/>
      <c r="O185" s="1"/>
      <c r="P185" s="1"/>
      <c r="Q185" s="1"/>
      <c r="R185" s="1"/>
    </row>
    <row r="186" spans="1:22" x14ac:dyDescent="0.25">
      <c r="A186" s="52"/>
      <c r="B186" s="59"/>
      <c r="C186" s="8"/>
      <c r="D186" s="8"/>
      <c r="E186" s="29"/>
      <c r="F186" s="29"/>
      <c r="G186" s="29"/>
      <c r="H186" s="8"/>
      <c r="I186" s="8"/>
      <c r="J186" s="8"/>
      <c r="K186" s="29"/>
      <c r="N186" s="1"/>
      <c r="O186" s="1"/>
      <c r="P186" s="1"/>
      <c r="Q186" s="1"/>
      <c r="R186" s="1"/>
    </row>
    <row r="187" spans="1:22" x14ac:dyDescent="0.25">
      <c r="A187" s="53"/>
      <c r="B187" s="58"/>
      <c r="C187" s="8"/>
      <c r="D187" s="8"/>
      <c r="E187" s="29"/>
      <c r="F187" s="29"/>
      <c r="G187" s="29"/>
      <c r="H187" s="8"/>
      <c r="I187" s="8"/>
      <c r="J187" s="8"/>
      <c r="K187" s="8"/>
      <c r="L187" s="3"/>
      <c r="M187" s="3"/>
      <c r="N187" s="7"/>
      <c r="O187" s="1"/>
      <c r="P187" s="1"/>
      <c r="Q187" s="1"/>
      <c r="R187" s="1"/>
    </row>
    <row r="188" spans="1:22" x14ac:dyDescent="0.25">
      <c r="A188" s="53"/>
      <c r="B188" s="61"/>
      <c r="C188" s="8"/>
      <c r="D188" s="8"/>
      <c r="E188" s="29"/>
      <c r="F188" s="8"/>
      <c r="G188" s="29"/>
      <c r="H188" s="8"/>
      <c r="I188" s="8"/>
      <c r="J188" s="8"/>
      <c r="K188" s="8"/>
      <c r="L188" s="3"/>
      <c r="M188" s="3"/>
      <c r="N188" s="7"/>
      <c r="O188" s="1"/>
      <c r="P188" s="1"/>
      <c r="Q188" s="1"/>
      <c r="R188" s="1"/>
    </row>
    <row r="189" spans="1:22" x14ac:dyDescent="0.25">
      <c r="A189" s="53"/>
      <c r="B189" s="57"/>
      <c r="C189" s="8"/>
      <c r="D189" s="8"/>
      <c r="E189" s="29"/>
      <c r="F189" s="29"/>
      <c r="G189" s="29"/>
      <c r="H189" s="8"/>
      <c r="I189" s="8"/>
      <c r="J189" s="8"/>
      <c r="K189" s="29"/>
    </row>
    <row r="190" spans="1:22" x14ac:dyDescent="0.25">
      <c r="A190" s="53"/>
      <c r="B190" s="58"/>
      <c r="C190" s="8"/>
      <c r="D190" s="8"/>
      <c r="E190" s="29"/>
      <c r="F190" s="29"/>
      <c r="G190" s="29"/>
      <c r="H190" s="29"/>
      <c r="I190" s="29"/>
      <c r="J190" s="29"/>
      <c r="K190" s="29"/>
      <c r="O190" s="3"/>
      <c r="P190" s="3"/>
    </row>
    <row r="191" spans="1:22" x14ac:dyDescent="0.25">
      <c r="A191" s="53"/>
      <c r="B191" s="60"/>
      <c r="C191" s="8"/>
      <c r="D191" s="8"/>
      <c r="E191" s="29"/>
      <c r="F191" s="29"/>
      <c r="G191" s="29"/>
      <c r="H191" s="29"/>
      <c r="I191" s="29"/>
      <c r="J191" s="29"/>
      <c r="K191" s="29"/>
    </row>
    <row r="192" spans="1:22" x14ac:dyDescent="0.25">
      <c r="A192" s="52"/>
      <c r="B192" s="61"/>
      <c r="C192" s="8"/>
      <c r="D192" s="8"/>
      <c r="E192" s="29"/>
      <c r="F192" s="29"/>
      <c r="G192" s="8"/>
      <c r="H192" s="8"/>
      <c r="I192" s="8"/>
      <c r="J192" s="8"/>
      <c r="K192" s="29"/>
      <c r="P192" s="3"/>
    </row>
    <row r="193" spans="1:16" x14ac:dyDescent="0.25">
      <c r="A193" s="52"/>
      <c r="B193" s="58"/>
      <c r="C193" s="8"/>
      <c r="D193" s="8"/>
      <c r="E193" s="29"/>
      <c r="F193" s="29"/>
      <c r="G193" s="8"/>
      <c r="H193" s="8"/>
      <c r="I193" s="8"/>
      <c r="J193" s="8"/>
      <c r="K193" s="29"/>
      <c r="P193" s="3"/>
    </row>
    <row r="194" spans="1:16" x14ac:dyDescent="0.25">
      <c r="A194" s="52"/>
      <c r="B194" s="61"/>
      <c r="C194" s="8"/>
      <c r="D194" s="8"/>
      <c r="E194" s="29"/>
      <c r="F194" s="29"/>
      <c r="G194" s="8"/>
      <c r="H194" s="29"/>
      <c r="I194" s="8"/>
      <c r="J194" s="8"/>
      <c r="K194" s="8"/>
      <c r="L194" s="3"/>
      <c r="M194" s="3"/>
      <c r="N194" s="3"/>
    </row>
    <row r="195" spans="1:16" x14ac:dyDescent="0.25">
      <c r="A195" s="52"/>
      <c r="B195" s="60"/>
      <c r="C195" s="8"/>
      <c r="D195" s="8"/>
      <c r="E195" s="29"/>
      <c r="F195" s="29"/>
      <c r="G195" s="29"/>
      <c r="H195" s="29"/>
      <c r="I195" s="8"/>
      <c r="J195" s="8"/>
      <c r="K195" s="8"/>
      <c r="L195" s="3"/>
      <c r="M195" s="3"/>
      <c r="N195" s="3"/>
    </row>
    <row r="196" spans="1:16" x14ac:dyDescent="0.25">
      <c r="A196" s="52"/>
      <c r="B196" s="57"/>
      <c r="C196" s="8"/>
      <c r="D196" s="8"/>
      <c r="E196" s="29"/>
      <c r="F196" s="29"/>
      <c r="G196" s="8"/>
      <c r="H196" s="29"/>
      <c r="I196" s="29"/>
      <c r="J196" s="8"/>
      <c r="K196" s="8"/>
      <c r="L196" s="3"/>
      <c r="M196" s="3"/>
      <c r="N196" s="3"/>
    </row>
    <row r="197" spans="1:16" x14ac:dyDescent="0.25">
      <c r="A197" s="53"/>
      <c r="B197" s="57"/>
      <c r="C197" s="8"/>
      <c r="D197" s="8"/>
      <c r="E197" s="29"/>
      <c r="F197" s="29"/>
      <c r="G197" s="8"/>
      <c r="H197" s="29"/>
      <c r="I197" s="29"/>
      <c r="J197" s="8"/>
      <c r="K197" s="8"/>
      <c r="L197" s="3"/>
      <c r="M197" s="3"/>
      <c r="N197" s="3"/>
    </row>
    <row r="198" spans="1:16" x14ac:dyDescent="0.25">
      <c r="A198" s="53"/>
      <c r="B198" s="57"/>
      <c r="C198" s="8"/>
      <c r="D198" s="8"/>
      <c r="E198" s="29"/>
      <c r="F198" s="29"/>
      <c r="G198" s="8"/>
      <c r="H198" s="29"/>
      <c r="I198" s="29"/>
      <c r="J198" s="8"/>
      <c r="K198" s="8"/>
      <c r="L198" s="3"/>
      <c r="M198" s="3"/>
      <c r="N198" s="3"/>
    </row>
    <row r="199" spans="1:16" x14ac:dyDescent="0.25">
      <c r="A199" s="53"/>
      <c r="B199" s="60"/>
      <c r="C199" s="8"/>
      <c r="D199" s="8"/>
      <c r="E199" s="29"/>
      <c r="F199" s="29"/>
      <c r="G199" s="29"/>
      <c r="H199" s="8"/>
      <c r="I199" s="8"/>
      <c r="J199" s="8"/>
      <c r="K199" s="8"/>
      <c r="L199" s="3"/>
      <c r="M199" s="3"/>
      <c r="N199" s="3"/>
    </row>
    <row r="200" spans="1:16" x14ac:dyDescent="0.25">
      <c r="A200" s="53"/>
      <c r="B200" s="59"/>
      <c r="C200" s="8"/>
      <c r="D200" s="8"/>
      <c r="E200" s="29"/>
      <c r="F200" s="29"/>
      <c r="G200" s="29"/>
      <c r="H200" s="29"/>
      <c r="I200" s="29"/>
      <c r="J200" s="8"/>
      <c r="K200" s="8"/>
      <c r="L200" s="3"/>
      <c r="M200" s="3"/>
      <c r="N200" s="3"/>
    </row>
    <row r="201" spans="1:16" x14ac:dyDescent="0.25">
      <c r="A201" s="53"/>
      <c r="B201" s="57"/>
      <c r="C201" s="8"/>
      <c r="D201" s="8"/>
      <c r="E201" s="29"/>
      <c r="F201" s="8"/>
      <c r="G201" s="29"/>
      <c r="H201" s="8"/>
      <c r="I201" s="8"/>
      <c r="J201" s="8"/>
      <c r="K201" s="8"/>
      <c r="L201" s="3"/>
      <c r="M201" s="3"/>
      <c r="N201" s="3"/>
    </row>
    <row r="202" spans="1:16" x14ac:dyDescent="0.25">
      <c r="A202" s="53"/>
      <c r="B202" s="57"/>
      <c r="C202" s="8"/>
      <c r="D202" s="8"/>
      <c r="E202" s="29"/>
      <c r="F202" s="8"/>
      <c r="G202" s="29"/>
      <c r="H202" s="8"/>
      <c r="I202" s="8"/>
      <c r="J202" s="8"/>
      <c r="K202" s="8"/>
      <c r="L202" s="3"/>
      <c r="M202" s="3"/>
      <c r="N202" s="3"/>
    </row>
    <row r="203" spans="1:16" x14ac:dyDescent="0.25">
      <c r="A203" s="53"/>
      <c r="B203" s="57"/>
      <c r="C203" s="8"/>
      <c r="D203" s="8"/>
      <c r="E203" s="29"/>
      <c r="F203" s="29"/>
      <c r="G203" s="29"/>
      <c r="H203" s="29"/>
      <c r="I203" s="8"/>
      <c r="J203" s="29"/>
      <c r="K203" s="29"/>
    </row>
    <row r="204" spans="1:16" x14ac:dyDescent="0.25">
      <c r="A204" s="53"/>
      <c r="B204" s="57"/>
      <c r="C204" s="8"/>
      <c r="D204" s="8"/>
      <c r="E204" s="29"/>
      <c r="F204" s="29"/>
      <c r="G204" s="29"/>
      <c r="H204" s="8"/>
      <c r="I204" s="8"/>
      <c r="J204" s="29"/>
      <c r="K204" s="29"/>
    </row>
    <row r="205" spans="1:16" x14ac:dyDescent="0.25">
      <c r="A205" s="53"/>
      <c r="B205" s="61"/>
      <c r="C205" s="8"/>
      <c r="D205" s="8"/>
      <c r="E205" s="29"/>
      <c r="F205" s="8"/>
      <c r="G205" s="29"/>
      <c r="H205" s="8"/>
      <c r="I205" s="8"/>
      <c r="J205" s="29"/>
      <c r="K205" s="29"/>
    </row>
    <row r="206" spans="1:16" x14ac:dyDescent="0.25">
      <c r="A206" s="53"/>
      <c r="B206" s="57"/>
      <c r="C206" s="8"/>
      <c r="D206" s="8"/>
      <c r="E206" s="29"/>
      <c r="F206" s="8"/>
      <c r="G206" s="29"/>
      <c r="H206" s="8"/>
      <c r="I206" s="8"/>
      <c r="J206" s="29"/>
      <c r="K206" s="29"/>
    </row>
    <row r="207" spans="1:16" x14ac:dyDescent="0.25">
      <c r="A207" s="53"/>
      <c r="B207" s="60"/>
      <c r="C207" s="8"/>
      <c r="D207" s="8"/>
      <c r="E207" s="29"/>
      <c r="F207" s="8"/>
      <c r="G207" s="29"/>
      <c r="H207" s="29"/>
      <c r="I207" s="29"/>
      <c r="J207" s="29"/>
      <c r="K207" s="29"/>
    </row>
    <row r="208" spans="1:16" x14ac:dyDescent="0.25">
      <c r="A208" s="53"/>
      <c r="B208" s="60"/>
      <c r="C208" s="8"/>
      <c r="D208" s="8"/>
      <c r="E208" s="29"/>
      <c r="F208" s="8"/>
      <c r="G208" s="29"/>
      <c r="H208" s="29"/>
      <c r="I208" s="29"/>
      <c r="J208" s="29"/>
      <c r="K208" s="29"/>
    </row>
    <row r="209" spans="1:11" x14ac:dyDescent="0.25">
      <c r="A209" s="53"/>
      <c r="B209" s="57"/>
      <c r="C209" s="8"/>
      <c r="D209" s="8"/>
      <c r="E209" s="29"/>
      <c r="F209" s="8"/>
      <c r="G209" s="29"/>
      <c r="H209" s="29"/>
      <c r="I209" s="29"/>
      <c r="J209" s="29"/>
      <c r="K209" s="29"/>
    </row>
    <row r="210" spans="1:11" x14ac:dyDescent="0.25">
      <c r="A210" s="53"/>
      <c r="B210" s="57"/>
      <c r="C210" s="8"/>
      <c r="D210" s="8"/>
      <c r="E210" s="29"/>
      <c r="F210" s="29"/>
      <c r="G210" s="29"/>
      <c r="H210" s="29"/>
      <c r="I210" s="29"/>
      <c r="J210" s="29"/>
      <c r="K210" s="29"/>
    </row>
    <row r="211" spans="1:11" x14ac:dyDescent="0.25">
      <c r="A211" s="53"/>
      <c r="B211" s="57"/>
      <c r="C211" s="8"/>
      <c r="D211" s="8"/>
      <c r="E211" s="29"/>
      <c r="F211" s="29"/>
      <c r="G211" s="29"/>
      <c r="H211" s="29"/>
      <c r="I211" s="29"/>
      <c r="J211" s="29"/>
      <c r="K211" s="29"/>
    </row>
    <row r="212" spans="1:11" x14ac:dyDescent="0.25">
      <c r="A212" s="53"/>
      <c r="B212" s="57"/>
      <c r="C212" s="8"/>
      <c r="D212" s="8"/>
      <c r="E212" s="29"/>
      <c r="F212" s="29"/>
      <c r="G212" s="29"/>
      <c r="H212" s="29"/>
      <c r="I212" s="29"/>
      <c r="J212" s="29"/>
      <c r="K212" s="29"/>
    </row>
    <row r="213" spans="1:11" x14ac:dyDescent="0.25">
      <c r="A213" s="53"/>
      <c r="B213" s="57"/>
      <c r="C213" s="8"/>
      <c r="D213" s="8"/>
      <c r="E213" s="29"/>
      <c r="F213" s="29"/>
      <c r="G213" s="29"/>
      <c r="H213" s="29"/>
      <c r="I213" s="29"/>
      <c r="J213" s="29"/>
      <c r="K213" s="29"/>
    </row>
    <row r="214" spans="1:11" x14ac:dyDescent="0.25">
      <c r="A214" s="53"/>
      <c r="B214" s="58"/>
      <c r="C214" s="8"/>
      <c r="D214" s="8"/>
      <c r="E214" s="29"/>
      <c r="F214" s="29"/>
      <c r="G214" s="29"/>
      <c r="H214" s="29"/>
      <c r="I214" s="29"/>
      <c r="J214" s="29"/>
      <c r="K214" s="29"/>
    </row>
    <row r="215" spans="1:11" x14ac:dyDescent="0.25">
      <c r="A215" s="53"/>
      <c r="B215" s="60"/>
      <c r="C215" s="8"/>
      <c r="D215" s="8"/>
      <c r="E215" s="29"/>
      <c r="F215" s="29"/>
      <c r="G215" s="29"/>
      <c r="H215" s="29"/>
      <c r="I215" s="29"/>
      <c r="J215" s="29"/>
      <c r="K215" s="29"/>
    </row>
    <row r="216" spans="1:11" x14ac:dyDescent="0.25">
      <c r="A216" s="53"/>
      <c r="B216" s="62"/>
      <c r="C216" s="15"/>
      <c r="D216" s="15"/>
      <c r="E216" s="15"/>
      <c r="F216" s="15"/>
      <c r="G216" s="15"/>
      <c r="H216" s="29"/>
      <c r="I216" s="29"/>
      <c r="J216" s="29"/>
      <c r="K216" s="29"/>
    </row>
    <row r="217" spans="1:11" x14ac:dyDescent="0.25">
      <c r="A217" s="53"/>
      <c r="B217" s="57"/>
      <c r="C217" s="15"/>
      <c r="D217" s="15"/>
      <c r="E217" s="15"/>
      <c r="F217" s="15"/>
      <c r="G217" s="15"/>
      <c r="H217" s="29"/>
      <c r="I217" s="29"/>
      <c r="J217" s="29"/>
      <c r="K217" s="29"/>
    </row>
    <row r="218" spans="1:11" x14ac:dyDescent="0.25">
      <c r="A218" s="53"/>
      <c r="B218" s="59"/>
      <c r="C218" s="15"/>
      <c r="D218" s="15"/>
      <c r="E218" s="15"/>
      <c r="F218" s="15"/>
      <c r="G218" s="15"/>
      <c r="H218" s="29"/>
      <c r="I218" s="29"/>
      <c r="J218" s="29"/>
      <c r="K218" s="29"/>
    </row>
    <row r="219" spans="1:11" x14ac:dyDescent="0.25">
      <c r="A219" s="53"/>
      <c r="B219" s="57"/>
      <c r="C219" s="15"/>
      <c r="D219" s="15"/>
      <c r="E219" s="15"/>
      <c r="F219" s="15"/>
      <c r="G219" s="15"/>
      <c r="H219" s="29"/>
      <c r="I219" s="29"/>
      <c r="J219" s="29"/>
      <c r="K219" s="29"/>
    </row>
    <row r="220" spans="1:11" x14ac:dyDescent="0.25">
      <c r="A220" s="53"/>
      <c r="B220" s="60"/>
      <c r="C220" s="8"/>
      <c r="D220" s="8"/>
      <c r="E220" s="29"/>
      <c r="F220" s="29"/>
      <c r="G220" s="29"/>
      <c r="H220" s="29"/>
      <c r="I220" s="29"/>
      <c r="J220" s="29"/>
      <c r="K220" s="29"/>
    </row>
    <row r="221" spans="1:11" x14ac:dyDescent="0.25">
      <c r="A221" s="53"/>
      <c r="B221" s="62"/>
      <c r="C221" s="15"/>
      <c r="D221" s="15"/>
      <c r="E221" s="15"/>
      <c r="F221" s="15"/>
      <c r="G221" s="15"/>
      <c r="H221" s="29"/>
      <c r="I221" s="29"/>
      <c r="J221" s="29"/>
      <c r="K221" s="29"/>
    </row>
    <row r="222" spans="1:11" x14ac:dyDescent="0.25">
      <c r="A222" s="53"/>
      <c r="B222" s="62"/>
      <c r="C222" s="15"/>
      <c r="D222" s="15"/>
      <c r="E222" s="15"/>
      <c r="F222" s="15"/>
      <c r="G222" s="15"/>
      <c r="H222" s="29"/>
      <c r="I222" s="29"/>
      <c r="J222" s="29"/>
      <c r="K222" s="29"/>
    </row>
    <row r="223" spans="1:11" x14ac:dyDescent="0.25">
      <c r="A223" s="53"/>
      <c r="B223" s="62"/>
      <c r="C223" s="15"/>
      <c r="D223" s="15"/>
      <c r="E223" s="15"/>
      <c r="F223" s="15"/>
      <c r="G223" s="15"/>
      <c r="H223" s="29"/>
      <c r="I223" s="29"/>
      <c r="J223" s="29"/>
      <c r="K223" s="29"/>
    </row>
    <row r="224" spans="1:11" x14ac:dyDescent="0.25">
      <c r="A224" s="53"/>
      <c r="B224" s="57"/>
      <c r="C224" s="15"/>
      <c r="D224" s="15"/>
      <c r="E224" s="15"/>
      <c r="F224" s="15"/>
      <c r="G224" s="15"/>
      <c r="H224" s="29"/>
      <c r="I224" s="29"/>
      <c r="J224" s="29"/>
      <c r="K224" s="29"/>
    </row>
    <row r="225" spans="1:11" x14ac:dyDescent="0.25">
      <c r="A225" s="53"/>
      <c r="B225" s="62"/>
      <c r="C225" s="15"/>
      <c r="D225" s="15"/>
      <c r="E225" s="15"/>
      <c r="F225" s="15"/>
      <c r="G225" s="15"/>
      <c r="H225" s="29"/>
      <c r="I225" s="29"/>
      <c r="J225" s="29"/>
      <c r="K225" s="29"/>
    </row>
    <row r="226" spans="1:11" x14ac:dyDescent="0.25">
      <c r="A226" s="53"/>
      <c r="B226" s="59"/>
      <c r="C226" s="15"/>
      <c r="D226" s="15"/>
      <c r="E226" s="15"/>
      <c r="F226" s="15"/>
      <c r="G226" s="15"/>
      <c r="H226" s="29"/>
      <c r="I226" s="29"/>
      <c r="J226" s="29"/>
      <c r="K226" s="29"/>
    </row>
    <row r="227" spans="1:11" x14ac:dyDescent="0.25">
      <c r="A227" s="53"/>
      <c r="B227" s="60"/>
      <c r="C227" s="8"/>
      <c r="D227" s="8"/>
      <c r="E227" s="29"/>
      <c r="F227" s="29"/>
      <c r="G227" s="29"/>
      <c r="H227" s="29"/>
      <c r="I227" s="29"/>
      <c r="J227" s="29"/>
      <c r="K227" s="29"/>
    </row>
    <row r="228" spans="1:11" x14ac:dyDescent="0.25">
      <c r="A228" s="53"/>
      <c r="B228" s="57"/>
      <c r="C228" s="15"/>
      <c r="D228" s="15"/>
      <c r="E228" s="15"/>
      <c r="F228" s="15"/>
      <c r="G228" s="15"/>
      <c r="H228" s="29"/>
      <c r="I228" s="29"/>
      <c r="J228" s="29"/>
      <c r="K228" s="29"/>
    </row>
    <row r="229" spans="1:11" x14ac:dyDescent="0.25">
      <c r="A229" s="53"/>
      <c r="B229" s="57"/>
      <c r="C229" s="15"/>
      <c r="D229" s="15"/>
      <c r="E229" s="15"/>
      <c r="F229" s="15"/>
      <c r="G229" s="15"/>
      <c r="H229" s="29"/>
      <c r="I229" s="29"/>
      <c r="J229" s="29"/>
      <c r="K229" s="29"/>
    </row>
    <row r="230" spans="1:11" x14ac:dyDescent="0.25">
      <c r="A230" s="53"/>
      <c r="B230" s="57"/>
      <c r="C230" s="15"/>
      <c r="D230" s="15"/>
      <c r="E230" s="15"/>
      <c r="F230" s="15"/>
      <c r="G230" s="15"/>
      <c r="H230" s="29"/>
      <c r="I230" s="29"/>
      <c r="J230" s="29"/>
      <c r="K230" s="29"/>
    </row>
    <row r="231" spans="1:11" x14ac:dyDescent="0.25">
      <c r="A231" s="53"/>
      <c r="B231" s="62"/>
      <c r="C231" s="15"/>
      <c r="D231" s="15"/>
      <c r="E231" s="15"/>
      <c r="F231" s="15"/>
      <c r="G231" s="15"/>
      <c r="H231" s="29"/>
      <c r="I231" s="29"/>
      <c r="J231" s="29"/>
      <c r="K231" s="29"/>
    </row>
    <row r="232" spans="1:11" x14ac:dyDescent="0.25">
      <c r="A232" s="53"/>
      <c r="B232" s="62"/>
      <c r="C232" s="15"/>
      <c r="D232" s="15"/>
      <c r="E232" s="15"/>
      <c r="F232" s="15"/>
      <c r="G232" s="15"/>
      <c r="H232" s="29"/>
      <c r="I232" s="29"/>
      <c r="J232" s="29"/>
      <c r="K232" s="29"/>
    </row>
    <row r="233" spans="1:11" x14ac:dyDescent="0.25">
      <c r="A233" s="53"/>
      <c r="B233" s="62"/>
      <c r="C233" s="15"/>
      <c r="D233" s="15"/>
      <c r="E233" s="15"/>
      <c r="F233" s="15"/>
      <c r="G233" s="15"/>
      <c r="H233" s="29"/>
      <c r="I233" s="29"/>
      <c r="J233" s="29"/>
      <c r="K233" s="29"/>
    </row>
    <row r="234" spans="1:11" x14ac:dyDescent="0.25">
      <c r="A234" s="53"/>
      <c r="B234" s="62"/>
      <c r="C234" s="15"/>
      <c r="D234" s="15"/>
      <c r="E234" s="15"/>
      <c r="F234" s="15"/>
      <c r="G234" s="15"/>
      <c r="H234" s="29"/>
      <c r="I234" s="29"/>
      <c r="J234" s="29"/>
      <c r="K234" s="29"/>
    </row>
    <row r="235" spans="1:11" x14ac:dyDescent="0.25">
      <c r="A235" s="53"/>
      <c r="B235" s="57"/>
      <c r="C235" s="15"/>
      <c r="D235" s="15"/>
      <c r="E235" s="15"/>
      <c r="F235" s="15"/>
      <c r="G235" s="15"/>
      <c r="H235" s="29"/>
      <c r="I235" s="29"/>
      <c r="J235" s="29"/>
      <c r="K235" s="29"/>
    </row>
    <row r="236" spans="1:11" x14ac:dyDescent="0.25">
      <c r="A236" s="53"/>
      <c r="B236" s="61"/>
      <c r="C236" s="15"/>
      <c r="D236" s="15"/>
      <c r="E236" s="15"/>
      <c r="F236" s="15"/>
      <c r="G236" s="15"/>
      <c r="H236" s="29"/>
      <c r="I236" s="29"/>
      <c r="J236" s="29"/>
      <c r="K236" s="29"/>
    </row>
    <row r="237" spans="1:11" x14ac:dyDescent="0.25">
      <c r="A237" s="53"/>
      <c r="B237" s="59"/>
      <c r="C237" s="15"/>
      <c r="D237" s="15"/>
      <c r="E237" s="15"/>
      <c r="F237" s="15"/>
      <c r="G237" s="15"/>
      <c r="H237" s="29"/>
      <c r="I237" s="29"/>
      <c r="J237" s="29"/>
      <c r="K237" s="29"/>
    </row>
    <row r="238" spans="1:11" x14ac:dyDescent="0.25">
      <c r="A238" s="53"/>
      <c r="B238" s="61"/>
      <c r="C238" s="15"/>
      <c r="D238" s="15"/>
      <c r="E238" s="15"/>
      <c r="F238" s="15"/>
      <c r="G238" s="15"/>
      <c r="H238" s="29"/>
      <c r="I238" s="29"/>
      <c r="J238" s="29"/>
      <c r="K238" s="29"/>
    </row>
    <row r="239" spans="1:11" x14ac:dyDescent="0.25">
      <c r="A239" s="53"/>
      <c r="B239" s="62"/>
      <c r="C239" s="15"/>
      <c r="D239" s="15"/>
      <c r="E239" s="15"/>
      <c r="F239" s="15"/>
      <c r="G239" s="15"/>
      <c r="H239" s="29"/>
      <c r="I239" s="29"/>
      <c r="J239" s="29"/>
      <c r="K239" s="29"/>
    </row>
    <row r="240" spans="1:11" x14ac:dyDescent="0.25">
      <c r="A240" s="53"/>
      <c r="B240" s="60"/>
      <c r="C240" s="8"/>
      <c r="D240" s="8"/>
      <c r="E240" s="29"/>
      <c r="F240" s="29"/>
      <c r="G240" s="29"/>
      <c r="H240" s="29"/>
      <c r="I240" s="29"/>
      <c r="J240" s="29"/>
      <c r="K240" s="29"/>
    </row>
    <row r="241" spans="1:11" x14ac:dyDescent="0.25">
      <c r="A241" s="53"/>
      <c r="B241" s="60"/>
      <c r="C241" s="8"/>
      <c r="D241" s="8"/>
      <c r="E241" s="29"/>
      <c r="F241" s="29"/>
      <c r="G241" s="29"/>
      <c r="H241" s="29"/>
      <c r="I241" s="29"/>
      <c r="J241" s="29"/>
      <c r="K241" s="29"/>
    </row>
    <row r="242" spans="1:11" x14ac:dyDescent="0.25">
      <c r="A242" s="53"/>
      <c r="B242" s="61"/>
      <c r="C242" s="15"/>
      <c r="D242" s="15"/>
      <c r="E242" s="15"/>
      <c r="F242" s="15"/>
      <c r="G242" s="15"/>
      <c r="H242" s="29"/>
      <c r="I242" s="29"/>
      <c r="J242" s="29"/>
      <c r="K242" s="29"/>
    </row>
    <row r="243" spans="1:11" x14ac:dyDescent="0.25">
      <c r="A243" s="53"/>
      <c r="B243" s="57"/>
      <c r="C243" s="15"/>
      <c r="D243" s="15"/>
      <c r="E243" s="15"/>
      <c r="F243" s="15"/>
      <c r="G243" s="15"/>
      <c r="H243" s="29"/>
      <c r="I243" s="29"/>
      <c r="J243" s="29"/>
      <c r="K243" s="29"/>
    </row>
    <row r="244" spans="1:11" x14ac:dyDescent="0.25">
      <c r="A244" s="53"/>
      <c r="B244" s="57"/>
      <c r="C244" s="15"/>
      <c r="D244" s="15"/>
      <c r="E244" s="15"/>
      <c r="F244" s="15"/>
      <c r="G244" s="15"/>
      <c r="H244" s="29"/>
      <c r="I244" s="29"/>
      <c r="J244" s="29"/>
      <c r="K244" s="29"/>
    </row>
    <row r="245" spans="1:11" x14ac:dyDescent="0.25">
      <c r="A245" s="53"/>
      <c r="B245" s="57"/>
      <c r="C245" s="15"/>
      <c r="D245" s="15"/>
      <c r="E245" s="15"/>
      <c r="F245" s="15"/>
      <c r="G245" s="15"/>
      <c r="H245" s="29"/>
      <c r="I245" s="29"/>
      <c r="J245" s="29"/>
      <c r="K245" s="29"/>
    </row>
    <row r="246" spans="1:11" x14ac:dyDescent="0.25">
      <c r="A246" s="53"/>
      <c r="B246" s="60"/>
      <c r="C246" s="8"/>
      <c r="D246" s="8"/>
      <c r="E246" s="29"/>
      <c r="F246" s="29"/>
      <c r="G246" s="29"/>
      <c r="H246" s="29"/>
      <c r="I246" s="29"/>
      <c r="J246" s="29"/>
      <c r="K246" s="29"/>
    </row>
    <row r="247" spans="1:11" x14ac:dyDescent="0.25">
      <c r="A247" s="53"/>
      <c r="B247" s="57"/>
      <c r="C247" s="15"/>
      <c r="D247" s="15"/>
      <c r="E247" s="15"/>
      <c r="F247" s="15"/>
      <c r="G247" s="15"/>
      <c r="H247" s="29"/>
      <c r="I247" s="29"/>
      <c r="J247" s="29"/>
      <c r="K247" s="29"/>
    </row>
    <row r="248" spans="1:11" x14ac:dyDescent="0.25">
      <c r="A248" s="53"/>
      <c r="B248" s="57"/>
      <c r="C248" s="15"/>
      <c r="D248" s="15"/>
      <c r="E248" s="15"/>
      <c r="F248" s="15"/>
      <c r="G248" s="15"/>
      <c r="H248" s="29"/>
      <c r="I248" s="29"/>
      <c r="J248" s="29"/>
      <c r="K248" s="29"/>
    </row>
    <row r="249" spans="1:11" x14ac:dyDescent="0.25">
      <c r="A249" s="53"/>
      <c r="B249" s="57"/>
      <c r="C249" s="15"/>
      <c r="D249" s="15"/>
      <c r="E249" s="15"/>
      <c r="F249" s="15"/>
      <c r="G249" s="15"/>
      <c r="H249" s="29"/>
      <c r="I249" s="29"/>
      <c r="J249" s="29"/>
      <c r="K249" s="29"/>
    </row>
    <row r="250" spans="1:11" x14ac:dyDescent="0.25">
      <c r="A250" s="53"/>
      <c r="B250" s="57"/>
      <c r="C250" s="15"/>
      <c r="D250" s="36"/>
      <c r="E250" s="36"/>
      <c r="F250" s="15"/>
      <c r="G250" s="15"/>
      <c r="H250" s="29"/>
      <c r="I250" s="29"/>
      <c r="J250" s="29"/>
      <c r="K250" s="29"/>
    </row>
    <row r="251" spans="1:11" x14ac:dyDescent="0.25">
      <c r="A251" s="53"/>
      <c r="B251" s="59"/>
      <c r="C251" s="15"/>
      <c r="D251" s="15"/>
      <c r="E251" s="15"/>
      <c r="F251" s="15"/>
      <c r="G251" s="15"/>
      <c r="H251" s="29"/>
      <c r="I251" s="29"/>
      <c r="J251" s="29"/>
      <c r="K251" s="29"/>
    </row>
    <row r="252" spans="1:11" x14ac:dyDescent="0.25">
      <c r="A252" s="53"/>
      <c r="B252" s="57"/>
      <c r="C252" s="15"/>
      <c r="D252" s="15"/>
      <c r="E252" s="15"/>
      <c r="F252" s="15"/>
      <c r="G252" s="15"/>
      <c r="H252" s="29"/>
      <c r="I252" s="29"/>
      <c r="J252" s="29"/>
      <c r="K252" s="29"/>
    </row>
    <row r="253" spans="1:11" x14ac:dyDescent="0.25">
      <c r="A253" s="53"/>
      <c r="B253" s="61"/>
      <c r="C253" s="15"/>
      <c r="D253" s="15"/>
      <c r="E253" s="15"/>
      <c r="F253" s="15"/>
      <c r="G253" s="15"/>
      <c r="H253" s="29"/>
      <c r="I253" s="29"/>
      <c r="J253" s="29"/>
      <c r="K253" s="29"/>
    </row>
    <row r="254" spans="1:11" x14ac:dyDescent="0.25">
      <c r="A254" s="53"/>
      <c r="B254" s="57"/>
      <c r="C254" s="15"/>
      <c r="D254" s="15"/>
      <c r="E254" s="15"/>
      <c r="F254" s="15"/>
      <c r="G254" s="15"/>
      <c r="H254" s="29"/>
      <c r="I254" s="29"/>
      <c r="J254" s="29"/>
      <c r="K254" s="29"/>
    </row>
    <row r="255" spans="1:11" x14ac:dyDescent="0.25">
      <c r="A255" s="53"/>
      <c r="B255" s="57"/>
      <c r="C255" s="15"/>
      <c r="D255" s="15"/>
      <c r="E255" s="15"/>
      <c r="F255" s="15"/>
      <c r="G255" s="15"/>
      <c r="H255" s="29"/>
      <c r="I255" s="29"/>
      <c r="J255" s="29"/>
      <c r="K255" s="29"/>
    </row>
    <row r="256" spans="1:11" x14ac:dyDescent="0.25">
      <c r="A256" s="53"/>
      <c r="B256" s="62"/>
      <c r="C256" s="15"/>
      <c r="D256" s="15"/>
      <c r="E256" s="15"/>
      <c r="F256" s="15"/>
      <c r="G256" s="15"/>
      <c r="H256" s="29"/>
      <c r="I256" s="29"/>
      <c r="J256" s="29"/>
      <c r="K256" s="29"/>
    </row>
    <row r="257" spans="1:11" x14ac:dyDescent="0.25">
      <c r="A257" s="53"/>
      <c r="B257" s="57"/>
      <c r="C257" s="15"/>
      <c r="D257" s="15"/>
      <c r="E257" s="15"/>
      <c r="F257" s="15"/>
      <c r="G257" s="15"/>
      <c r="H257" s="29"/>
      <c r="I257" s="29"/>
      <c r="J257" s="29"/>
      <c r="K257" s="29"/>
    </row>
    <row r="258" spans="1:11" x14ac:dyDescent="0.25">
      <c r="A258" s="53"/>
      <c r="B258" s="57"/>
      <c r="C258" s="15"/>
      <c r="D258" s="15"/>
      <c r="E258" s="15"/>
      <c r="F258" s="15"/>
      <c r="G258" s="15"/>
      <c r="H258" s="29"/>
      <c r="I258" s="29"/>
      <c r="J258" s="29"/>
      <c r="K258" s="29"/>
    </row>
    <row r="259" spans="1:11" x14ac:dyDescent="0.25">
      <c r="A259" s="53"/>
      <c r="B259" s="57"/>
      <c r="C259" s="15"/>
      <c r="D259" s="15"/>
      <c r="E259" s="15"/>
      <c r="F259" s="15"/>
      <c r="G259" s="15"/>
      <c r="H259" s="29"/>
      <c r="I259" s="29"/>
      <c r="J259" s="29"/>
      <c r="K259" s="29"/>
    </row>
    <row r="260" spans="1:11" x14ac:dyDescent="0.25">
      <c r="A260" s="53"/>
      <c r="B260" s="60"/>
      <c r="C260" s="8"/>
      <c r="D260" s="8"/>
      <c r="E260" s="29"/>
      <c r="F260" s="29"/>
      <c r="G260" s="29"/>
      <c r="H260" s="29"/>
      <c r="I260" s="29"/>
      <c r="J260" s="29"/>
      <c r="K260" s="29"/>
    </row>
  </sheetData>
  <phoneticPr fontId="24" type="noConversion"/>
  <conditionalFormatting sqref="R1 R3:R1048576">
    <cfRule type="containsText" dxfId="295" priority="61" operator="containsText" text="Physical">
      <formula>NOT(ISERROR(SEARCH("Physical",R1)))</formula>
    </cfRule>
    <cfRule type="containsText" dxfId="294" priority="62" operator="containsText" text="Ethereal">
      <formula>NOT(ISERROR(SEARCH("Ethereal",R1)))</formula>
    </cfRule>
    <cfRule type="containsText" dxfId="293" priority="63" operator="containsText" text="Decay">
      <formula>NOT(ISERROR(SEARCH("Decay",R1)))</formula>
    </cfRule>
    <cfRule type="containsText" dxfId="292" priority="64" operator="containsText" text="Lightning">
      <formula>NOT(ISERROR(SEARCH("Lightning",R1)))</formula>
    </cfRule>
    <cfRule type="containsText" dxfId="291" priority="65" operator="containsText" text="Frost">
      <formula>NOT(ISERROR(SEARCH("Frost",R1)))</formula>
    </cfRule>
    <cfRule type="containsText" dxfId="290" priority="66" operator="containsText" text="Fire">
      <formula>NOT(ISERROR(SEARCH("Fire",R1)))</formula>
    </cfRule>
    <cfRule type="containsText" dxfId="289" priority="67" operator="containsText" text="Raw">
      <formula>NOT(ISERROR(SEARCH("Raw",R1)))</formula>
    </cfRule>
  </conditionalFormatting>
  <conditionalFormatting sqref="R2">
    <cfRule type="containsText" dxfId="288" priority="19" operator="containsText" text="Physical">
      <formula>NOT(ISERROR(SEARCH("Physical",R2)))</formula>
    </cfRule>
    <cfRule type="containsText" dxfId="287" priority="20" operator="containsText" text="Ethereal">
      <formula>NOT(ISERROR(SEARCH("Ethereal",R2)))</formula>
    </cfRule>
    <cfRule type="containsText" dxfId="286" priority="21" operator="containsText" text="Decay">
      <formula>NOT(ISERROR(SEARCH("Decay",R2)))</formula>
    </cfRule>
    <cfRule type="containsText" dxfId="285" priority="22" operator="containsText" text="Lightning">
      <formula>NOT(ISERROR(SEARCH("Lightning",R2)))</formula>
    </cfRule>
    <cfRule type="containsText" dxfId="284" priority="23" operator="containsText" text="Frost">
      <formula>NOT(ISERROR(SEARCH("Frost",R2)))</formula>
    </cfRule>
    <cfRule type="containsText" dxfId="283" priority="24" operator="containsText" text="Fire">
      <formula>NOT(ISERROR(SEARCH("Fire",R2)))</formula>
    </cfRule>
    <cfRule type="containsText" dxfId="282" priority="25" operator="containsText" text="Raw">
      <formula>NOT(ISERROR(SEARCH("Raw",R2)))</formula>
    </cfRule>
  </conditionalFormatting>
  <conditionalFormatting sqref="T2:T101">
    <cfRule type="expression" dxfId="281" priority="13">
      <formula>MOD(ROW(), 2)=1</formula>
    </cfRule>
    <cfRule type="expression" dxfId="280" priority="14">
      <formula>MOD(ROW(), 2)=0</formula>
    </cfRule>
  </conditionalFormatting>
  <conditionalFormatting sqref="U2:U101">
    <cfRule type="expression" dxfId="279" priority="11">
      <formula>MOD(ROW(), 2)=1</formula>
    </cfRule>
    <cfRule type="expression" dxfId="278" priority="12">
      <formula>MOD(ROW(), 2)=0</formula>
    </cfRule>
  </conditionalFormatting>
  <conditionalFormatting sqref="P2:Q101 T2:U101">
    <cfRule type="cellIs" dxfId="277" priority="17" operator="greaterThan">
      <formula>0</formula>
    </cfRule>
    <cfRule type="cellIs" dxfId="276" priority="18" operator="lessThan">
      <formula>0</formula>
    </cfRule>
  </conditionalFormatting>
  <conditionalFormatting sqref="M2:M101">
    <cfRule type="expression" dxfId="17" priority="3">
      <formula>MOD(ROW(), 2)=1</formula>
    </cfRule>
    <cfRule type="expression" dxfId="16" priority="4">
      <formula>MOD(ROW(), 2)=0</formula>
    </cfRule>
  </conditionalFormatting>
  <conditionalFormatting sqref="O2:O101">
    <cfRule type="expression" dxfId="15" priority="1">
      <formula>MOD(ROW(), 2)=1</formula>
    </cfRule>
    <cfRule type="expression" dxfId="14" priority="2">
      <formula>MOD(ROW(), 2)=0</formula>
    </cfRule>
  </conditionalFormatting>
  <conditionalFormatting sqref="M2:O101">
    <cfRule type="cellIs" dxfId="13" priority="5" operator="greaterThan">
      <formula>0</formula>
    </cfRule>
    <cfRule type="cellIs" dxfId="12" priority="6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21"/>
  <sheetViews>
    <sheetView zoomScaleNormal="100" workbookViewId="0">
      <selection activeCell="N6" sqref="N6"/>
    </sheetView>
  </sheetViews>
  <sheetFormatPr defaultRowHeight="15" x14ac:dyDescent="0.25"/>
  <cols>
    <col min="1" max="1" width="11.42578125" style="50" customWidth="1"/>
    <col min="2" max="2" width="30.140625" customWidth="1"/>
    <col min="3" max="3" width="7.7109375" style="3" customWidth="1"/>
    <col min="4" max="4" width="4.7109375" style="3" customWidth="1"/>
    <col min="5" max="5" width="4.7109375" customWidth="1"/>
    <col min="6" max="6" width="4.7109375" style="3" customWidth="1"/>
    <col min="7" max="9" width="4.7109375" customWidth="1"/>
    <col min="10" max="10" width="8.140625" customWidth="1"/>
    <col min="11" max="11" width="9.7109375" customWidth="1"/>
    <col min="12" max="12" width="8.7109375" customWidth="1"/>
    <col min="16" max="16" width="9.140625" customWidth="1"/>
    <col min="17" max="17" width="9.28515625" customWidth="1"/>
    <col min="18" max="18" width="13.7109375" customWidth="1"/>
    <col min="23" max="23" width="11.85546875" customWidth="1"/>
    <col min="25" max="25" width="14.85546875" customWidth="1"/>
    <col min="27" max="27" width="13.28515625" customWidth="1"/>
  </cols>
  <sheetData>
    <row r="1" spans="1:27" x14ac:dyDescent="0.25">
      <c r="A1" s="50" t="s">
        <v>0</v>
      </c>
      <c r="B1" s="54" t="s">
        <v>1</v>
      </c>
      <c r="C1" s="76" t="s">
        <v>130</v>
      </c>
      <c r="D1" s="76" t="s">
        <v>131</v>
      </c>
      <c r="E1" s="3" t="s">
        <v>132</v>
      </c>
      <c r="F1" s="76" t="s">
        <v>133</v>
      </c>
      <c r="G1" s="77" t="s">
        <v>134</v>
      </c>
      <c r="H1" s="76" t="s">
        <v>135</v>
      </c>
      <c r="I1" s="76" t="s">
        <v>472</v>
      </c>
      <c r="J1" s="3" t="s">
        <v>585</v>
      </c>
      <c r="K1" s="3" t="s">
        <v>586</v>
      </c>
      <c r="L1" s="3" t="s">
        <v>595</v>
      </c>
      <c r="M1" t="s">
        <v>587</v>
      </c>
      <c r="N1" t="s">
        <v>589</v>
      </c>
      <c r="O1" t="s">
        <v>588</v>
      </c>
      <c r="P1" t="s">
        <v>590</v>
      </c>
      <c r="Q1" t="s">
        <v>591</v>
      </c>
      <c r="R1" t="s">
        <v>468</v>
      </c>
      <c r="S1" s="3" t="s">
        <v>469</v>
      </c>
      <c r="T1" t="s">
        <v>593</v>
      </c>
      <c r="U1" t="s">
        <v>594</v>
      </c>
      <c r="V1" t="s">
        <v>136</v>
      </c>
      <c r="W1" t="s">
        <v>137</v>
      </c>
      <c r="X1" t="s">
        <v>138</v>
      </c>
      <c r="Y1" t="s">
        <v>4</v>
      </c>
      <c r="Z1" t="s">
        <v>470</v>
      </c>
      <c r="AA1" t="s">
        <v>85</v>
      </c>
    </row>
    <row r="2" spans="1:27" x14ac:dyDescent="0.25">
      <c r="A2" s="81">
        <v>3000021</v>
      </c>
      <c r="B2" s="55" t="s">
        <v>269</v>
      </c>
      <c r="C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9</v>
      </c>
      <c r="D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14</v>
      </c>
      <c r="I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2</v>
      </c>
      <c r="N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" s="49"/>
      <c r="S2" s="8"/>
      <c r="T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10</v>
      </c>
      <c r="U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2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275</v>
      </c>
      <c r="W2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2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115</v>
      </c>
      <c r="Y2" s="8"/>
      <c r="Z2" s="8"/>
      <c r="AA2" s="55" t="s">
        <v>491</v>
      </c>
    </row>
    <row r="3" spans="1:27" x14ac:dyDescent="0.25">
      <c r="A3" s="81">
        <v>3100131</v>
      </c>
      <c r="B3" s="55" t="s">
        <v>270</v>
      </c>
      <c r="C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8</v>
      </c>
      <c r="D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15</v>
      </c>
      <c r="H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8</v>
      </c>
      <c r="K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" s="49" t="s">
        <v>233</v>
      </c>
      <c r="S3" s="8"/>
      <c r="T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275</v>
      </c>
      <c r="W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3" s="8"/>
      <c r="Z3" s="8"/>
      <c r="AA3" s="55" t="s">
        <v>492</v>
      </c>
    </row>
    <row r="4" spans="1:27" ht="30" x14ac:dyDescent="0.25">
      <c r="A4" s="81">
        <v>3100251</v>
      </c>
      <c r="B4" s="55" t="s">
        <v>271</v>
      </c>
      <c r="C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8</v>
      </c>
      <c r="D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-8</v>
      </c>
      <c r="P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" s="49" t="s">
        <v>480</v>
      </c>
      <c r="S4" s="8"/>
      <c r="T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3</v>
      </c>
      <c r="V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200</v>
      </c>
      <c r="W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4" s="8"/>
      <c r="Z4" s="8"/>
      <c r="AA4" s="56" t="s">
        <v>540</v>
      </c>
    </row>
    <row r="5" spans="1:27" x14ac:dyDescent="0.25">
      <c r="A5" s="81">
        <v>3000261</v>
      </c>
      <c r="B5" s="55" t="s">
        <v>272</v>
      </c>
      <c r="C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4</v>
      </c>
      <c r="D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5</v>
      </c>
      <c r="E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5</v>
      </c>
      <c r="F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5</v>
      </c>
      <c r="G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5</v>
      </c>
      <c r="H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5</v>
      </c>
      <c r="I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-19</v>
      </c>
      <c r="P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8</v>
      </c>
      <c r="R5" s="49"/>
      <c r="S5" s="8"/>
      <c r="T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125</v>
      </c>
      <c r="W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" s="8"/>
      <c r="Z5" s="8"/>
      <c r="AA5" s="94" t="s">
        <v>545</v>
      </c>
    </row>
    <row r="6" spans="1:27" x14ac:dyDescent="0.25">
      <c r="A6" s="81">
        <v>3000221</v>
      </c>
      <c r="B6" s="55" t="s">
        <v>273</v>
      </c>
      <c r="C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7</v>
      </c>
      <c r="D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18</v>
      </c>
      <c r="F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6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" s="49"/>
      <c r="S6" s="8"/>
      <c r="T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14</v>
      </c>
      <c r="U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3</v>
      </c>
      <c r="V6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200</v>
      </c>
      <c r="W6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6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6" s="8"/>
      <c r="Z6" s="8"/>
      <c r="AA6" s="55" t="s">
        <v>493</v>
      </c>
    </row>
    <row r="7" spans="1:27" x14ac:dyDescent="0.25">
      <c r="A7" s="81">
        <v>3100441</v>
      </c>
      <c r="B7" s="55" t="s">
        <v>274</v>
      </c>
      <c r="C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8</v>
      </c>
      <c r="D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3</v>
      </c>
      <c r="M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" s="49"/>
      <c r="S7" s="8"/>
      <c r="T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7</v>
      </c>
      <c r="U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600</v>
      </c>
      <c r="W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7" s="8"/>
      <c r="Z7" s="8"/>
      <c r="AA7" s="56" t="s">
        <v>494</v>
      </c>
    </row>
    <row r="8" spans="1:27" x14ac:dyDescent="0.25">
      <c r="A8" s="81">
        <v>3000331</v>
      </c>
      <c r="B8" s="83" t="s">
        <v>275</v>
      </c>
      <c r="C8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11</v>
      </c>
      <c r="D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13</v>
      </c>
      <c r="H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" s="49"/>
      <c r="S8" s="8"/>
      <c r="T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5</v>
      </c>
      <c r="V8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450</v>
      </c>
      <c r="W8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8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" s="8"/>
      <c r="Z8" s="8"/>
      <c r="AA8" s="55" t="s">
        <v>495</v>
      </c>
    </row>
    <row r="9" spans="1:27" ht="14.45" customHeight="1" x14ac:dyDescent="0.25">
      <c r="A9" s="81">
        <v>3000251</v>
      </c>
      <c r="B9" s="55" t="s">
        <v>276</v>
      </c>
      <c r="C9" s="79">
        <v>5</v>
      </c>
      <c r="D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" s="8">
        <v>5</v>
      </c>
      <c r="K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9" s="15">
        <v>17</v>
      </c>
      <c r="O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" s="49"/>
      <c r="S9" s="8"/>
      <c r="T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9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0</v>
      </c>
      <c r="W9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0</v>
      </c>
      <c r="X9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" s="8"/>
      <c r="Z9" s="8"/>
      <c r="AA9" s="89" t="s">
        <v>568</v>
      </c>
    </row>
    <row r="10" spans="1:27" x14ac:dyDescent="0.25">
      <c r="A10" s="81">
        <v>3100094</v>
      </c>
      <c r="B10" s="55" t="s">
        <v>277</v>
      </c>
      <c r="C1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14</v>
      </c>
      <c r="D1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1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1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1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1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30</v>
      </c>
      <c r="P1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" s="49"/>
      <c r="S10" s="8"/>
      <c r="T1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-8</v>
      </c>
      <c r="U1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1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325</v>
      </c>
      <c r="W1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1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0" s="8"/>
      <c r="Z10" s="8"/>
      <c r="AA10" s="55" t="s">
        <v>496</v>
      </c>
    </row>
    <row r="11" spans="1:27" x14ac:dyDescent="0.25">
      <c r="A11" s="81">
        <v>3100081</v>
      </c>
      <c r="B11" s="55" t="s">
        <v>278</v>
      </c>
      <c r="C1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12</v>
      </c>
      <c r="D1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5</v>
      </c>
      <c r="E1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5</v>
      </c>
      <c r="F1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5</v>
      </c>
      <c r="G1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5</v>
      </c>
      <c r="H1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5</v>
      </c>
      <c r="I1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1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1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1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1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8</v>
      </c>
      <c r="P1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1" s="49"/>
      <c r="S11" s="8"/>
      <c r="T1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-5</v>
      </c>
      <c r="U1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350</v>
      </c>
      <c r="W1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1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1" s="8"/>
      <c r="Z11" s="8"/>
      <c r="AA11" s="98" t="s">
        <v>497</v>
      </c>
    </row>
    <row r="12" spans="1:27" ht="15" customHeight="1" x14ac:dyDescent="0.25">
      <c r="A12" s="81">
        <v>3000036</v>
      </c>
      <c r="B12" s="55" t="s">
        <v>279</v>
      </c>
      <c r="C1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6</v>
      </c>
      <c r="D1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1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1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1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2" s="49"/>
      <c r="S12" s="8"/>
      <c r="T1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1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12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12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12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2" s="8"/>
      <c r="Z12" s="8"/>
      <c r="AA12" s="98" t="s">
        <v>163</v>
      </c>
    </row>
    <row r="13" spans="1:27" ht="14.45" customHeight="1" x14ac:dyDescent="0.25">
      <c r="A13" s="81">
        <v>3000113</v>
      </c>
      <c r="B13" s="55" t="s">
        <v>280</v>
      </c>
      <c r="C1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2</v>
      </c>
      <c r="D1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1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-7</v>
      </c>
      <c r="N1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1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3" s="49"/>
      <c r="S13" s="8"/>
      <c r="T1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14</v>
      </c>
      <c r="U1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1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1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3" s="8"/>
      <c r="Z13" s="8"/>
      <c r="AA13" s="98" t="s">
        <v>552</v>
      </c>
    </row>
    <row r="14" spans="1:27" x14ac:dyDescent="0.25">
      <c r="A14" s="81">
        <v>3000122</v>
      </c>
      <c r="B14" s="55" t="s">
        <v>281</v>
      </c>
      <c r="C1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</v>
      </c>
      <c r="D1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1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-5</v>
      </c>
      <c r="N1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1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4" s="49"/>
      <c r="S14" s="8"/>
      <c r="T1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11</v>
      </c>
      <c r="U1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1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1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4" s="8"/>
      <c r="Z14" s="8"/>
      <c r="AA14" s="98" t="s">
        <v>554</v>
      </c>
    </row>
    <row r="15" spans="1:27" ht="14.45" customHeight="1" x14ac:dyDescent="0.25">
      <c r="A15" s="81">
        <v>3100271</v>
      </c>
      <c r="B15" s="55" t="s">
        <v>282</v>
      </c>
      <c r="C1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17</v>
      </c>
      <c r="D1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5</v>
      </c>
      <c r="E1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5</v>
      </c>
      <c r="F1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1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1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6</v>
      </c>
      <c r="N1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-2</v>
      </c>
      <c r="O1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23</v>
      </c>
      <c r="P1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5" s="49"/>
      <c r="S15" s="8"/>
      <c r="T1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1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425</v>
      </c>
      <c r="W1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1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5" s="8"/>
      <c r="Z15" s="8"/>
      <c r="AA15" s="94" t="s">
        <v>543</v>
      </c>
    </row>
    <row r="16" spans="1:27" x14ac:dyDescent="0.25">
      <c r="A16" s="81">
        <v>3100451</v>
      </c>
      <c r="B16" s="55" t="s">
        <v>283</v>
      </c>
      <c r="C1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11</v>
      </c>
      <c r="D1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7</v>
      </c>
      <c r="G1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7</v>
      </c>
      <c r="H1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1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1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16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5</v>
      </c>
      <c r="P1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6" s="49"/>
      <c r="S16" s="8"/>
      <c r="T1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1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6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350</v>
      </c>
      <c r="W16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16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6" s="8" t="s">
        <v>284</v>
      </c>
      <c r="Z16" s="8"/>
      <c r="AA16" s="56" t="s">
        <v>498</v>
      </c>
    </row>
    <row r="17" spans="1:27" ht="14.45" customHeight="1" x14ac:dyDescent="0.25">
      <c r="A17" s="81">
        <v>3100041</v>
      </c>
      <c r="B17" s="55" t="s">
        <v>285</v>
      </c>
      <c r="C1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17</v>
      </c>
      <c r="D1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15</v>
      </c>
      <c r="G1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15</v>
      </c>
      <c r="I1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1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1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1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1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1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7</v>
      </c>
      <c r="Q1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7" s="49"/>
      <c r="S17" s="8"/>
      <c r="T1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-6</v>
      </c>
      <c r="U1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1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525</v>
      </c>
      <c r="W1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1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7" s="8"/>
      <c r="Z17" s="8"/>
      <c r="AA17" s="55" t="s">
        <v>499</v>
      </c>
    </row>
    <row r="18" spans="1:27" x14ac:dyDescent="0.25">
      <c r="A18" s="81">
        <v>3100050</v>
      </c>
      <c r="B18" s="55" t="s">
        <v>286</v>
      </c>
      <c r="C18" s="79">
        <v>5</v>
      </c>
      <c r="D1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8" s="8">
        <v>5</v>
      </c>
      <c r="K1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8" s="8">
        <v>25</v>
      </c>
      <c r="N18" s="15">
        <v>-50</v>
      </c>
      <c r="O18" s="8">
        <v>100</v>
      </c>
      <c r="P1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8" s="49"/>
      <c r="S18" s="8"/>
      <c r="T1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1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8" s="8">
        <v>200</v>
      </c>
      <c r="W18" s="8">
        <v>3</v>
      </c>
      <c r="X18" s="8">
        <v>20</v>
      </c>
      <c r="Y18" s="8"/>
      <c r="Z18" s="8"/>
      <c r="AA18" s="89" t="s">
        <v>569</v>
      </c>
    </row>
    <row r="19" spans="1:27" ht="14.45" customHeight="1" x14ac:dyDescent="0.25">
      <c r="A19" s="81">
        <v>3100401</v>
      </c>
      <c r="B19" s="55" t="s">
        <v>287</v>
      </c>
      <c r="C19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12</v>
      </c>
      <c r="D1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9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9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1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4</v>
      </c>
      <c r="L1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2</v>
      </c>
      <c r="M1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1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1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1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9" s="49"/>
      <c r="S19" s="8"/>
      <c r="T1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5</v>
      </c>
      <c r="U1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9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450</v>
      </c>
      <c r="W19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19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9" s="8"/>
      <c r="Z19" s="8"/>
      <c r="AA19" s="56" t="s">
        <v>500</v>
      </c>
    </row>
    <row r="20" spans="1:27" ht="15" customHeight="1" x14ac:dyDescent="0.25">
      <c r="A20" s="81">
        <v>3000161</v>
      </c>
      <c r="B20" s="55" t="s">
        <v>288</v>
      </c>
      <c r="C2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7</v>
      </c>
      <c r="D2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15</v>
      </c>
      <c r="E2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10</v>
      </c>
      <c r="G2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2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2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2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2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2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2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0" s="49"/>
      <c r="S20" s="8"/>
      <c r="T2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2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2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200</v>
      </c>
      <c r="W2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2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20" s="8"/>
      <c r="Z20" s="8"/>
      <c r="AA20" s="55" t="s">
        <v>501</v>
      </c>
    </row>
    <row r="21" spans="1:27" ht="14.45" customHeight="1" x14ac:dyDescent="0.25">
      <c r="A21" s="81">
        <v>3000100</v>
      </c>
      <c r="B21" s="55" t="s">
        <v>289</v>
      </c>
      <c r="C21" s="79">
        <v>10</v>
      </c>
      <c r="D2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1" s="71">
        <v>20</v>
      </c>
      <c r="H2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1" s="8">
        <v>5</v>
      </c>
      <c r="K2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2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2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21" s="8">
        <v>-10</v>
      </c>
      <c r="P2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1" s="49"/>
      <c r="S21" s="8"/>
      <c r="T2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2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21" s="8">
        <v>180</v>
      </c>
      <c r="W21" s="8">
        <v>4</v>
      </c>
      <c r="X21" s="8">
        <v>125</v>
      </c>
      <c r="Y21" s="8"/>
      <c r="Z21" s="8"/>
      <c r="AA21" s="89" t="s">
        <v>570</v>
      </c>
    </row>
    <row r="22" spans="1:27" x14ac:dyDescent="0.25">
      <c r="A22" s="52">
        <v>3100091</v>
      </c>
      <c r="B22" s="83" t="s">
        <v>290</v>
      </c>
      <c r="C2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15</v>
      </c>
      <c r="D2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23</v>
      </c>
      <c r="H2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2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2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2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2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15</v>
      </c>
      <c r="P2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2" s="49" t="s">
        <v>291</v>
      </c>
      <c r="S22" s="8"/>
      <c r="T2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-8</v>
      </c>
      <c r="U2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3</v>
      </c>
      <c r="V22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525</v>
      </c>
      <c r="W22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22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22" s="8"/>
      <c r="Z22" s="8"/>
      <c r="AA22" s="98" t="s">
        <v>502</v>
      </c>
    </row>
    <row r="23" spans="1:27" x14ac:dyDescent="0.25">
      <c r="A23" s="52">
        <v>3000183</v>
      </c>
      <c r="B23" s="83" t="s">
        <v>292</v>
      </c>
      <c r="C2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</v>
      </c>
      <c r="D2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2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2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2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-18</v>
      </c>
      <c r="N2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2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2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3" s="49"/>
      <c r="S23" s="8"/>
      <c r="T2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13</v>
      </c>
      <c r="U2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2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2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2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23" s="8"/>
      <c r="Z23" s="8"/>
      <c r="AA23" s="7" t="s">
        <v>544</v>
      </c>
    </row>
    <row r="24" spans="1:27" x14ac:dyDescent="0.25">
      <c r="A24" s="52">
        <v>3000114</v>
      </c>
      <c r="B24" s="83" t="s">
        <v>293</v>
      </c>
      <c r="C2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2</v>
      </c>
      <c r="D2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2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2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2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-7</v>
      </c>
      <c r="N2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2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2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4" s="49"/>
      <c r="S24" s="8"/>
      <c r="T2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14</v>
      </c>
      <c r="U2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2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2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2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24" s="8"/>
      <c r="Z24" s="8"/>
      <c r="AA24" s="98" t="s">
        <v>552</v>
      </c>
    </row>
    <row r="25" spans="1:27" ht="14.45" customHeight="1" x14ac:dyDescent="0.25">
      <c r="A25" s="52">
        <v>3000123</v>
      </c>
      <c r="B25" s="83" t="s">
        <v>294</v>
      </c>
      <c r="C2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</v>
      </c>
      <c r="D2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2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2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2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-5</v>
      </c>
      <c r="N2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2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2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5" s="49"/>
      <c r="S25" s="8"/>
      <c r="T2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11</v>
      </c>
      <c r="U2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2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2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2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25" s="8"/>
      <c r="Z25" s="8"/>
      <c r="AA25" s="98" t="s">
        <v>554</v>
      </c>
    </row>
    <row r="26" spans="1:27" x14ac:dyDescent="0.25">
      <c r="A26" s="52">
        <v>3000085</v>
      </c>
      <c r="B26" s="83" t="s">
        <v>295</v>
      </c>
      <c r="C2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</v>
      </c>
      <c r="D2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2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2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2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26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2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2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6" s="49"/>
      <c r="S26" s="8"/>
      <c r="T2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</v>
      </c>
      <c r="U2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26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26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26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26" s="8"/>
      <c r="Z26" s="8"/>
      <c r="AA26" s="98" t="s">
        <v>564</v>
      </c>
    </row>
    <row r="27" spans="1:27" ht="15" customHeight="1" x14ac:dyDescent="0.25">
      <c r="A27" s="52">
        <v>3000203</v>
      </c>
      <c r="B27" s="83" t="s">
        <v>296</v>
      </c>
      <c r="C2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6</v>
      </c>
      <c r="D2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2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2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2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2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-1</v>
      </c>
      <c r="O2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2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7" s="49"/>
      <c r="S27" s="8"/>
      <c r="T2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20</v>
      </c>
      <c r="U2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2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2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2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27" s="8"/>
      <c r="Z27" s="8"/>
      <c r="AA27" s="98" t="s">
        <v>94</v>
      </c>
    </row>
    <row r="28" spans="1:27" x14ac:dyDescent="0.25">
      <c r="A28" s="52">
        <v>3000204</v>
      </c>
      <c r="B28" s="57" t="s">
        <v>297</v>
      </c>
      <c r="C28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8</v>
      </c>
      <c r="D2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2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2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8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2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2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-7</v>
      </c>
      <c r="N2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2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4</v>
      </c>
      <c r="P2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8" s="49"/>
      <c r="S28" s="8"/>
      <c r="T2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12</v>
      </c>
      <c r="U2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28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200</v>
      </c>
      <c r="W28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28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28" s="8"/>
      <c r="Z28" s="8"/>
      <c r="AA28" s="98" t="s">
        <v>566</v>
      </c>
    </row>
    <row r="29" spans="1:27" ht="14.45" customHeight="1" x14ac:dyDescent="0.25">
      <c r="A29" s="52">
        <v>3000037</v>
      </c>
      <c r="B29" s="59" t="s">
        <v>298</v>
      </c>
      <c r="C29" s="79">
        <v>13</v>
      </c>
      <c r="D2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29" s="73">
        <v>30</v>
      </c>
      <c r="F2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2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2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2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29" s="8">
        <v>9</v>
      </c>
      <c r="K29" s="8">
        <v>1</v>
      </c>
      <c r="L2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29" s="8">
        <v>-10</v>
      </c>
      <c r="N2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2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2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2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29" s="49"/>
      <c r="S29" s="8"/>
      <c r="T29" s="8">
        <v>8</v>
      </c>
      <c r="U2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29" s="8">
        <v>290</v>
      </c>
      <c r="W29" s="8">
        <v>3</v>
      </c>
      <c r="X29" s="8">
        <v>300</v>
      </c>
      <c r="Y29" s="8"/>
      <c r="Z29" s="8"/>
      <c r="AA29" s="89" t="s">
        <v>298</v>
      </c>
    </row>
    <row r="30" spans="1:27" ht="15" customHeight="1" x14ac:dyDescent="0.25">
      <c r="A30" s="52">
        <v>3100001</v>
      </c>
      <c r="B30" s="83" t="s">
        <v>299</v>
      </c>
      <c r="C3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16</v>
      </c>
      <c r="D3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3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3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3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3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3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3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3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3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38</v>
      </c>
      <c r="P3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0" s="49"/>
      <c r="S30" s="8"/>
      <c r="T3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-5</v>
      </c>
      <c r="U3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3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425</v>
      </c>
      <c r="W3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3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30" s="8"/>
      <c r="Z30" s="8"/>
      <c r="AA30" s="98" t="s">
        <v>503</v>
      </c>
    </row>
    <row r="31" spans="1:27" ht="14.45" customHeight="1" x14ac:dyDescent="0.25">
      <c r="A31" s="52">
        <v>3000115</v>
      </c>
      <c r="B31" s="83" t="s">
        <v>300</v>
      </c>
      <c r="C3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11</v>
      </c>
      <c r="D3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15</v>
      </c>
      <c r="F3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15</v>
      </c>
      <c r="G3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3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3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3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3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-5</v>
      </c>
      <c r="N3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-2</v>
      </c>
      <c r="O3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3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1" s="49"/>
      <c r="S31" s="8"/>
      <c r="T3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15</v>
      </c>
      <c r="U3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3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250</v>
      </c>
      <c r="W3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3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31" s="8"/>
      <c r="Z31" s="8"/>
      <c r="AA31" s="57" t="s">
        <v>504</v>
      </c>
    </row>
    <row r="32" spans="1:27" x14ac:dyDescent="0.25">
      <c r="A32" s="52">
        <v>3900000</v>
      </c>
      <c r="B32" s="83" t="s">
        <v>301</v>
      </c>
      <c r="C3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0</v>
      </c>
      <c r="D3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3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3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3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3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0</v>
      </c>
      <c r="K3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3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3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32" s="8">
        <v>-50</v>
      </c>
      <c r="P3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2" s="49" t="s">
        <v>302</v>
      </c>
      <c r="S32" s="8"/>
      <c r="T3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3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32" s="8">
        <v>1000</v>
      </c>
      <c r="W32" s="8">
        <v>1</v>
      </c>
      <c r="X32" s="8">
        <v>20</v>
      </c>
      <c r="Y32" s="8" t="s">
        <v>303</v>
      </c>
      <c r="Z32" s="8"/>
      <c r="AA32" s="105" t="s">
        <v>576</v>
      </c>
    </row>
    <row r="33" spans="1:27" x14ac:dyDescent="0.25">
      <c r="A33" s="52">
        <v>3000241</v>
      </c>
      <c r="B33" s="57" t="s">
        <v>304</v>
      </c>
      <c r="C3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6</v>
      </c>
      <c r="D3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3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3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10</v>
      </c>
      <c r="H3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3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3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3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3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3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3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3" s="49"/>
      <c r="S33" s="8"/>
      <c r="T3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3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4</v>
      </c>
      <c r="V3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3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3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33" s="8"/>
      <c r="Z33" s="8"/>
      <c r="AA33" s="57" t="s">
        <v>505</v>
      </c>
    </row>
    <row r="34" spans="1:27" ht="45" x14ac:dyDescent="0.25">
      <c r="A34" s="52">
        <v>3900005</v>
      </c>
      <c r="B34" s="57" t="s">
        <v>305</v>
      </c>
      <c r="C3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0</v>
      </c>
      <c r="D3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3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34" s="71">
        <v>-40</v>
      </c>
      <c r="H34" s="66">
        <v>-40</v>
      </c>
      <c r="I3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0</v>
      </c>
      <c r="K3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3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3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34" s="8">
        <v>-35</v>
      </c>
      <c r="P3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4" s="49" t="s">
        <v>484</v>
      </c>
      <c r="S34" s="8"/>
      <c r="T3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3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34" s="8">
        <v>1000</v>
      </c>
      <c r="W34" s="8">
        <v>1</v>
      </c>
      <c r="X34" s="8">
        <v>20</v>
      </c>
      <c r="Y34" s="8"/>
      <c r="Z34" s="8"/>
      <c r="AA34" s="105" t="s">
        <v>305</v>
      </c>
    </row>
    <row r="35" spans="1:27" ht="14.45" customHeight="1" x14ac:dyDescent="0.25">
      <c r="A35" s="52">
        <v>3900002</v>
      </c>
      <c r="B35" s="57" t="s">
        <v>306</v>
      </c>
      <c r="C35" s="79">
        <v>33</v>
      </c>
      <c r="D3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3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3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3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3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5" s="8">
        <v>33</v>
      </c>
      <c r="K3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3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3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3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3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5" s="49" t="s">
        <v>307</v>
      </c>
      <c r="S35" s="8">
        <v>10</v>
      </c>
      <c r="T3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3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35" s="8">
        <v>1000</v>
      </c>
      <c r="W35" s="8">
        <v>1</v>
      </c>
      <c r="X35" s="8">
        <v>20</v>
      </c>
      <c r="Y35" s="8" t="s">
        <v>308</v>
      </c>
      <c r="Z35" s="8"/>
      <c r="AA35" s="105" t="s">
        <v>306</v>
      </c>
    </row>
    <row r="36" spans="1:27" x14ac:dyDescent="0.25">
      <c r="A36" s="52">
        <v>3900004</v>
      </c>
      <c r="B36" s="57" t="s">
        <v>309</v>
      </c>
      <c r="C3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0</v>
      </c>
      <c r="D3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3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3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3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3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0</v>
      </c>
      <c r="K3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3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6" s="8">
        <v>-20</v>
      </c>
      <c r="N36" s="15">
        <v>17</v>
      </c>
      <c r="O3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3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6" s="49"/>
      <c r="S36" s="8">
        <v>5</v>
      </c>
      <c r="T3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3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36" s="8">
        <v>1000</v>
      </c>
      <c r="W36" s="8">
        <v>1</v>
      </c>
      <c r="X36" s="8">
        <v>20</v>
      </c>
      <c r="Y36" s="8"/>
      <c r="Z36" s="8"/>
      <c r="AA36" s="105" t="s">
        <v>309</v>
      </c>
    </row>
    <row r="37" spans="1:27" x14ac:dyDescent="0.25">
      <c r="A37" s="52">
        <v>3000211</v>
      </c>
      <c r="B37" s="57" t="s">
        <v>310</v>
      </c>
      <c r="C3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7</v>
      </c>
      <c r="D3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3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23</v>
      </c>
      <c r="G3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3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10</v>
      </c>
      <c r="I3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3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3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3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3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-45</v>
      </c>
      <c r="P3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7" s="49"/>
      <c r="S37" s="8"/>
      <c r="T3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3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3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375</v>
      </c>
      <c r="W3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3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37" s="8"/>
      <c r="Z37" s="8"/>
      <c r="AA37" s="57" t="s">
        <v>506</v>
      </c>
    </row>
    <row r="38" spans="1:27" x14ac:dyDescent="0.25">
      <c r="A38" s="52">
        <v>3900001</v>
      </c>
      <c r="B38" s="62" t="s">
        <v>311</v>
      </c>
      <c r="C38" s="79">
        <v>50</v>
      </c>
      <c r="D3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3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3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3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3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8" s="8">
        <v>60</v>
      </c>
      <c r="K38" s="8">
        <v>10</v>
      </c>
      <c r="L3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3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3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3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8" s="49" t="s">
        <v>205</v>
      </c>
      <c r="S38" s="8"/>
      <c r="T3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3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38" s="8">
        <v>1000</v>
      </c>
      <c r="W38" s="8">
        <v>1</v>
      </c>
      <c r="X38" s="8">
        <v>20</v>
      </c>
      <c r="Y38" s="8"/>
      <c r="Z38" s="8"/>
      <c r="AA38" s="105" t="s">
        <v>311</v>
      </c>
    </row>
    <row r="39" spans="1:27" ht="14.45" customHeight="1" x14ac:dyDescent="0.25">
      <c r="A39" s="52">
        <v>3900003</v>
      </c>
      <c r="B39" s="61" t="s">
        <v>312</v>
      </c>
      <c r="C39" s="79">
        <v>15</v>
      </c>
      <c r="D3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39" s="73">
        <v>60</v>
      </c>
      <c r="F3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3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3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3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39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0</v>
      </c>
      <c r="K3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3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3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3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3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3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3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39" s="49" t="s">
        <v>313</v>
      </c>
      <c r="S39" s="8">
        <v>15</v>
      </c>
      <c r="T3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3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39" s="8">
        <v>1000</v>
      </c>
      <c r="W39" s="8">
        <v>1</v>
      </c>
      <c r="X39" s="8">
        <v>20</v>
      </c>
      <c r="Y39" s="8"/>
      <c r="Z39" s="8"/>
      <c r="AA39" s="105" t="s">
        <v>312</v>
      </c>
    </row>
    <row r="40" spans="1:27" x14ac:dyDescent="0.25">
      <c r="A40" s="52">
        <v>3000311</v>
      </c>
      <c r="B40" s="83" t="s">
        <v>314</v>
      </c>
      <c r="C4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10</v>
      </c>
      <c r="D4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15</v>
      </c>
      <c r="E4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10</v>
      </c>
      <c r="G4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4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4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4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4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8</v>
      </c>
      <c r="P4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0" s="49"/>
      <c r="S40" s="8"/>
      <c r="T4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4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375</v>
      </c>
      <c r="W4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4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40" s="8"/>
      <c r="Z40" s="8"/>
      <c r="AA40" s="98" t="s">
        <v>507</v>
      </c>
    </row>
    <row r="41" spans="1:27" x14ac:dyDescent="0.25">
      <c r="A41" s="52">
        <v>3100007</v>
      </c>
      <c r="B41" s="61" t="s">
        <v>315</v>
      </c>
      <c r="C4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8</v>
      </c>
      <c r="D4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4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4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4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2</v>
      </c>
      <c r="N4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4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15</v>
      </c>
      <c r="P4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1" s="49"/>
      <c r="S41" s="8"/>
      <c r="T4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4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225</v>
      </c>
      <c r="W4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4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41" s="8"/>
      <c r="Z41" s="8"/>
      <c r="AA41" s="57" t="s">
        <v>508</v>
      </c>
    </row>
    <row r="42" spans="1:27" x14ac:dyDescent="0.25">
      <c r="A42" s="52">
        <v>3100231</v>
      </c>
      <c r="B42" s="83" t="s">
        <v>316</v>
      </c>
      <c r="C4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17</v>
      </c>
      <c r="D4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-4</v>
      </c>
      <c r="G4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4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4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4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4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23</v>
      </c>
      <c r="P4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-5</v>
      </c>
      <c r="Q4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2" s="49" t="s">
        <v>167</v>
      </c>
      <c r="S42" s="8"/>
      <c r="T4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42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425</v>
      </c>
      <c r="W42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42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42" s="8"/>
      <c r="Z42" s="8"/>
      <c r="AA42" s="57" t="s">
        <v>509</v>
      </c>
    </row>
    <row r="43" spans="1:27" ht="14.45" customHeight="1" x14ac:dyDescent="0.25">
      <c r="A43" s="52">
        <v>3000103</v>
      </c>
      <c r="B43" s="57" t="s">
        <v>317</v>
      </c>
      <c r="C43" s="79">
        <v>10</v>
      </c>
      <c r="D4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4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3" s="8">
        <v>5</v>
      </c>
      <c r="K4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4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4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4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4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3" s="49" t="s">
        <v>149</v>
      </c>
      <c r="S43" s="8"/>
      <c r="T4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43" s="8">
        <v>180</v>
      </c>
      <c r="W43" s="8">
        <v>4</v>
      </c>
      <c r="X43" s="8">
        <v>125</v>
      </c>
      <c r="Y43" s="8"/>
      <c r="Z43" s="8"/>
      <c r="AA43" s="89" t="s">
        <v>571</v>
      </c>
    </row>
    <row r="44" spans="1:27" x14ac:dyDescent="0.25">
      <c r="A44" s="52">
        <v>3000045</v>
      </c>
      <c r="B44" s="57" t="s">
        <v>318</v>
      </c>
      <c r="C4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6</v>
      </c>
      <c r="D4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10</v>
      </c>
      <c r="F4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-10</v>
      </c>
      <c r="G4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4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4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4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4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-23</v>
      </c>
      <c r="P4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4" s="49"/>
      <c r="S44" s="8"/>
      <c r="T4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4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4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4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44" s="8"/>
      <c r="Z44" s="8"/>
      <c r="AA44" s="57" t="s">
        <v>546</v>
      </c>
    </row>
    <row r="45" spans="1:27" ht="14.45" customHeight="1" x14ac:dyDescent="0.25">
      <c r="A45" s="52">
        <v>3000041</v>
      </c>
      <c r="B45" s="59" t="s">
        <v>319</v>
      </c>
      <c r="C4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8</v>
      </c>
      <c r="D4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4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4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4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4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4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-41</v>
      </c>
      <c r="P4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5" s="49" t="s">
        <v>167</v>
      </c>
      <c r="S45" s="8"/>
      <c r="T4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4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300</v>
      </c>
      <c r="W4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4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45" s="8"/>
      <c r="Z45" s="8"/>
      <c r="AA45" s="57" t="s">
        <v>547</v>
      </c>
    </row>
    <row r="46" spans="1:27" x14ac:dyDescent="0.25">
      <c r="A46" s="52">
        <v>3000252</v>
      </c>
      <c r="B46" s="57" t="s">
        <v>320</v>
      </c>
      <c r="C46" s="79">
        <v>10</v>
      </c>
      <c r="D4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4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6" s="8">
        <v>10</v>
      </c>
      <c r="K4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4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46" s="15">
        <v>19</v>
      </c>
      <c r="O4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4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6" s="49"/>
      <c r="S46" s="8"/>
      <c r="T4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46" s="8">
        <v>100</v>
      </c>
      <c r="W46" s="8">
        <v>3</v>
      </c>
      <c r="X46" s="8">
        <v>100</v>
      </c>
      <c r="Y46" s="8"/>
      <c r="Z46" s="8"/>
      <c r="AA46" s="89" t="s">
        <v>572</v>
      </c>
    </row>
    <row r="47" spans="1:27" ht="14.45" customHeight="1" x14ac:dyDescent="0.25">
      <c r="A47" s="52">
        <v>3100112</v>
      </c>
      <c r="B47" s="57" t="s">
        <v>321</v>
      </c>
      <c r="C4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10</v>
      </c>
      <c r="D4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4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4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4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-9</v>
      </c>
      <c r="N4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4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4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7" s="49"/>
      <c r="S47" s="8"/>
      <c r="T4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4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225</v>
      </c>
      <c r="W4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4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47" s="8"/>
      <c r="Z47" s="8"/>
      <c r="AA47" s="57" t="s">
        <v>510</v>
      </c>
    </row>
    <row r="48" spans="1:27" x14ac:dyDescent="0.25">
      <c r="A48" s="52">
        <v>3100241</v>
      </c>
      <c r="B48" s="61" t="s">
        <v>322</v>
      </c>
      <c r="C48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9</v>
      </c>
      <c r="D4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4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8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4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4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4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4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4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8</v>
      </c>
      <c r="R48" s="49"/>
      <c r="S48" s="8"/>
      <c r="T4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48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250</v>
      </c>
      <c r="W48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48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48" s="8"/>
      <c r="Z48" s="8"/>
      <c r="AA48" s="98" t="s">
        <v>511</v>
      </c>
    </row>
    <row r="49" spans="1:27" ht="14.45" customHeight="1" x14ac:dyDescent="0.25">
      <c r="A49" s="52">
        <v>3100111</v>
      </c>
      <c r="B49" s="57" t="s">
        <v>323</v>
      </c>
      <c r="C49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10</v>
      </c>
      <c r="D4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49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4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4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4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4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49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4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4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4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-9</v>
      </c>
      <c r="N4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4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4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4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49" s="49"/>
      <c r="S49" s="8"/>
      <c r="T4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4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49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225</v>
      </c>
      <c r="W49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49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49" s="8"/>
      <c r="Z49" s="8"/>
      <c r="AA49" s="57" t="s">
        <v>510</v>
      </c>
    </row>
    <row r="50" spans="1:27" x14ac:dyDescent="0.25">
      <c r="A50" s="52">
        <v>3100113</v>
      </c>
      <c r="B50" s="83" t="s">
        <v>324</v>
      </c>
      <c r="C5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10</v>
      </c>
      <c r="D5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5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5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5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5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5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-9</v>
      </c>
      <c r="N5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5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5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0" s="49" t="s">
        <v>233</v>
      </c>
      <c r="S50" s="8"/>
      <c r="T5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5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5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225</v>
      </c>
      <c r="W5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5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0" s="8"/>
      <c r="Z50" s="8"/>
      <c r="AA50" s="57" t="s">
        <v>510</v>
      </c>
    </row>
    <row r="51" spans="1:27" x14ac:dyDescent="0.25">
      <c r="A51" s="52">
        <v>3100071</v>
      </c>
      <c r="B51" s="83" t="s">
        <v>325</v>
      </c>
      <c r="C5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16</v>
      </c>
      <c r="D5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5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5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5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10</v>
      </c>
      <c r="K5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5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5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3</v>
      </c>
      <c r="O5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38</v>
      </c>
      <c r="P5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1" s="49"/>
      <c r="S51" s="8"/>
      <c r="T5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-5</v>
      </c>
      <c r="U5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5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400</v>
      </c>
      <c r="W5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5</v>
      </c>
      <c r="X5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1" s="8"/>
      <c r="Z51" s="8"/>
      <c r="AA51" s="57" t="s">
        <v>512</v>
      </c>
    </row>
    <row r="52" spans="1:27" x14ac:dyDescent="0.25">
      <c r="A52" s="52">
        <v>3100471</v>
      </c>
      <c r="B52" s="83" t="s">
        <v>326</v>
      </c>
      <c r="C5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14</v>
      </c>
      <c r="D5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6</v>
      </c>
      <c r="E5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5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6</v>
      </c>
      <c r="I5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5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5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5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5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5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2" s="49" t="s">
        <v>268</v>
      </c>
      <c r="S52" s="8"/>
      <c r="T5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5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52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300</v>
      </c>
      <c r="W52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52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2" s="8" t="s">
        <v>327</v>
      </c>
      <c r="Z52" s="8"/>
      <c r="AA52" s="57" t="s">
        <v>513</v>
      </c>
    </row>
    <row r="53" spans="1:27" x14ac:dyDescent="0.25">
      <c r="A53" s="52">
        <v>3000039</v>
      </c>
      <c r="B53" s="57" t="s">
        <v>328</v>
      </c>
      <c r="C5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3</v>
      </c>
      <c r="D5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5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5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5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5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5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5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5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5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3" s="49"/>
      <c r="S53" s="8"/>
      <c r="T5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5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5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75</v>
      </c>
      <c r="W5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5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3" s="8"/>
      <c r="Z53" s="8"/>
      <c r="AA53" s="57" t="s">
        <v>514</v>
      </c>
    </row>
    <row r="54" spans="1:27" x14ac:dyDescent="0.25">
      <c r="A54" s="52">
        <v>3000281</v>
      </c>
      <c r="B54" s="57" t="s">
        <v>329</v>
      </c>
      <c r="C5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4</v>
      </c>
      <c r="D5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5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5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5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5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5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5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5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5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4" s="49"/>
      <c r="S54" s="8"/>
      <c r="T5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5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5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125</v>
      </c>
      <c r="W5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5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4" s="8"/>
      <c r="Z54" s="8"/>
      <c r="AA54" s="57" t="s">
        <v>549</v>
      </c>
    </row>
    <row r="55" spans="1:27" ht="14.45" customHeight="1" x14ac:dyDescent="0.25">
      <c r="A55" s="52">
        <v>3100446</v>
      </c>
      <c r="B55" s="57" t="s">
        <v>330</v>
      </c>
      <c r="C5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8</v>
      </c>
      <c r="D5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5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5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5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5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3</v>
      </c>
      <c r="L5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3</v>
      </c>
      <c r="M5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5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-2</v>
      </c>
      <c r="O5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5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5" s="49" t="s">
        <v>151</v>
      </c>
      <c r="S55" s="8"/>
      <c r="T5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7</v>
      </c>
      <c r="U5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5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600</v>
      </c>
      <c r="W5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5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5" s="8"/>
      <c r="Z55" s="8"/>
      <c r="AA55" s="57" t="s">
        <v>515</v>
      </c>
    </row>
    <row r="56" spans="1:27" x14ac:dyDescent="0.25">
      <c r="A56" s="52">
        <v>3000321</v>
      </c>
      <c r="B56" s="57" t="s">
        <v>331</v>
      </c>
      <c r="C5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13</v>
      </c>
      <c r="D5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5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5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5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5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5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-4</v>
      </c>
      <c r="N56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-2</v>
      </c>
      <c r="O5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-11</v>
      </c>
      <c r="P5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6" s="49"/>
      <c r="S56" s="8"/>
      <c r="T5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16</v>
      </c>
      <c r="U5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56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325</v>
      </c>
      <c r="W56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56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6" s="8"/>
      <c r="Z56" s="8"/>
      <c r="AA56" s="57" t="s">
        <v>550</v>
      </c>
    </row>
    <row r="57" spans="1:27" x14ac:dyDescent="0.25">
      <c r="A57" s="52">
        <v>3100193</v>
      </c>
      <c r="B57" s="83" t="s">
        <v>332</v>
      </c>
      <c r="C5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11</v>
      </c>
      <c r="D5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5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5</v>
      </c>
      <c r="F5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5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5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5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-9</v>
      </c>
      <c r="N5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5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15</v>
      </c>
      <c r="P5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7" s="49"/>
      <c r="S57" s="8"/>
      <c r="T5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5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5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350</v>
      </c>
      <c r="W5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5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7" s="8"/>
      <c r="Z57" s="8"/>
      <c r="AA57" s="57" t="s">
        <v>516</v>
      </c>
    </row>
    <row r="58" spans="1:27" x14ac:dyDescent="0.25">
      <c r="A58" s="52">
        <v>3100191</v>
      </c>
      <c r="B58" s="83" t="s">
        <v>333</v>
      </c>
      <c r="C58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11</v>
      </c>
      <c r="D5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5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5</v>
      </c>
      <c r="F5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5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8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5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5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-9</v>
      </c>
      <c r="N5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5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15</v>
      </c>
      <c r="P5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8" s="49"/>
      <c r="S58" s="8"/>
      <c r="T5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5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58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350</v>
      </c>
      <c r="W58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58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8" s="8"/>
      <c r="Z58" s="8"/>
      <c r="AA58" s="57" t="s">
        <v>516</v>
      </c>
    </row>
    <row r="59" spans="1:27" ht="14.45" customHeight="1" x14ac:dyDescent="0.25">
      <c r="A59" s="52">
        <v>3100194</v>
      </c>
      <c r="B59" s="83" t="s">
        <v>334</v>
      </c>
      <c r="C59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11</v>
      </c>
      <c r="D5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59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5</v>
      </c>
      <c r="F5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5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5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5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59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5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5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5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-9</v>
      </c>
      <c r="N5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5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15</v>
      </c>
      <c r="P5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5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59" s="49" t="s">
        <v>149</v>
      </c>
      <c r="S59" s="8"/>
      <c r="T5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5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59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350</v>
      </c>
      <c r="W59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59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59" s="8"/>
      <c r="Z59" s="8"/>
      <c r="AA59" s="57" t="s">
        <v>516</v>
      </c>
    </row>
    <row r="60" spans="1:27" x14ac:dyDescent="0.25">
      <c r="A60" s="52">
        <v>3000231</v>
      </c>
      <c r="B60" s="83" t="s">
        <v>335</v>
      </c>
      <c r="C6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7</v>
      </c>
      <c r="D6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6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6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6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6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6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-10</v>
      </c>
      <c r="N6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-3</v>
      </c>
      <c r="O6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6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0" s="49"/>
      <c r="S60" s="8"/>
      <c r="T6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10</v>
      </c>
      <c r="U6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6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250</v>
      </c>
      <c r="W6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6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60" s="8"/>
      <c r="Z60" s="8"/>
      <c r="AA60" s="57" t="s">
        <v>541</v>
      </c>
    </row>
    <row r="61" spans="1:27" x14ac:dyDescent="0.25">
      <c r="A61" s="52">
        <v>3200031</v>
      </c>
      <c r="B61" s="83" t="s">
        <v>336</v>
      </c>
      <c r="C6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0</v>
      </c>
      <c r="D6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6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6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6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0</v>
      </c>
      <c r="K6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6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6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6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6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1" s="49"/>
      <c r="S61" s="8"/>
      <c r="T6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6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6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0</v>
      </c>
      <c r="W6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0</v>
      </c>
      <c r="X6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61" s="8"/>
      <c r="Z61" s="8"/>
      <c r="AA61" s="57" t="s">
        <v>551</v>
      </c>
    </row>
    <row r="62" spans="1:27" x14ac:dyDescent="0.25">
      <c r="A62" s="52">
        <v>3100461</v>
      </c>
      <c r="B62" s="83" t="s">
        <v>337</v>
      </c>
      <c r="C6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12</v>
      </c>
      <c r="D6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6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6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6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6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6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2</v>
      </c>
      <c r="N6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6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4</v>
      </c>
      <c r="P6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2" s="49"/>
      <c r="S62" s="8"/>
      <c r="T6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10</v>
      </c>
      <c r="U6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62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300</v>
      </c>
      <c r="W62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62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62" s="8" t="s">
        <v>338</v>
      </c>
      <c r="Z62" s="8"/>
      <c r="AA62" s="57" t="s">
        <v>517</v>
      </c>
    </row>
    <row r="63" spans="1:27" ht="14.45" customHeight="1" x14ac:dyDescent="0.25">
      <c r="A63" s="52">
        <v>3100421</v>
      </c>
      <c r="B63" s="83" t="s">
        <v>339</v>
      </c>
      <c r="C6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4</v>
      </c>
      <c r="D6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6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6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6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6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6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6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6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6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3" s="49"/>
      <c r="S63" s="8"/>
      <c r="T6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5</v>
      </c>
      <c r="U6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6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125</v>
      </c>
      <c r="W6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6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10</v>
      </c>
      <c r="Y63" s="8" t="s">
        <v>338</v>
      </c>
      <c r="Z63" s="8"/>
      <c r="AA63" s="96" t="s">
        <v>518</v>
      </c>
    </row>
    <row r="64" spans="1:27" x14ac:dyDescent="0.25">
      <c r="A64" s="52">
        <v>3100431</v>
      </c>
      <c r="B64" s="83" t="s">
        <v>340</v>
      </c>
      <c r="C6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4</v>
      </c>
      <c r="D6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13</v>
      </c>
      <c r="E6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10</v>
      </c>
      <c r="F6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6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10</v>
      </c>
      <c r="I6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6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6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6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-2</v>
      </c>
      <c r="O6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-15</v>
      </c>
      <c r="P6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4" s="49"/>
      <c r="S64" s="8"/>
      <c r="T6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8</v>
      </c>
      <c r="U6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6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250</v>
      </c>
      <c r="W6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6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180</v>
      </c>
      <c r="Y64" s="8"/>
      <c r="Z64" s="8"/>
      <c r="AA64" s="57" t="s">
        <v>219</v>
      </c>
    </row>
    <row r="65" spans="1:27" x14ac:dyDescent="0.25">
      <c r="A65" s="52">
        <v>3000071</v>
      </c>
      <c r="B65" s="83" t="s">
        <v>341</v>
      </c>
      <c r="C6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2</v>
      </c>
      <c r="D6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13</v>
      </c>
      <c r="F6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13</v>
      </c>
      <c r="H6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13</v>
      </c>
      <c r="I6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6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6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6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6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-8</v>
      </c>
      <c r="P6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8</v>
      </c>
      <c r="Q6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5" s="49"/>
      <c r="S65" s="8"/>
      <c r="T6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6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6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6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6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65" s="8"/>
      <c r="Z65" s="8"/>
      <c r="AA65" s="57" t="s">
        <v>583</v>
      </c>
    </row>
    <row r="66" spans="1:27" x14ac:dyDescent="0.25">
      <c r="A66" s="52">
        <v>3100181</v>
      </c>
      <c r="B66" s="83" t="s">
        <v>342</v>
      </c>
      <c r="C6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16</v>
      </c>
      <c r="D6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6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6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6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6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6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4</v>
      </c>
      <c r="N66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6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23</v>
      </c>
      <c r="P6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6" s="49"/>
      <c r="S66" s="8"/>
      <c r="T6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-8</v>
      </c>
      <c r="U6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4</v>
      </c>
      <c r="V66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425</v>
      </c>
      <c r="W66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66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66" s="8"/>
      <c r="Z66" s="8"/>
      <c r="AA66" s="57" t="s">
        <v>519</v>
      </c>
    </row>
    <row r="67" spans="1:27" ht="14.45" customHeight="1" x14ac:dyDescent="0.25">
      <c r="A67" s="52">
        <v>3000011</v>
      </c>
      <c r="B67" s="83" t="s">
        <v>343</v>
      </c>
      <c r="C6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6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6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7</v>
      </c>
      <c r="H6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6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6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6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6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6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6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7" s="49"/>
      <c r="S67" s="8"/>
      <c r="T6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6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6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150</v>
      </c>
      <c r="W6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6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67" s="8"/>
      <c r="Z67" s="8"/>
      <c r="AA67" s="57" t="s">
        <v>520</v>
      </c>
    </row>
    <row r="68" spans="1:27" x14ac:dyDescent="0.25">
      <c r="A68" s="52">
        <v>3000087</v>
      </c>
      <c r="B68" s="83" t="s">
        <v>344</v>
      </c>
      <c r="C68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</v>
      </c>
      <c r="D6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6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6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6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8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6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6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6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6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6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8" s="49"/>
      <c r="S68" s="8"/>
      <c r="T6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</v>
      </c>
      <c r="U6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68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68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68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68" s="8"/>
      <c r="Z68" s="8"/>
      <c r="AA68" s="97" t="s">
        <v>564</v>
      </c>
    </row>
    <row r="69" spans="1:27" x14ac:dyDescent="0.25">
      <c r="A69" s="52">
        <v>3100061</v>
      </c>
      <c r="B69" s="83" t="s">
        <v>345</v>
      </c>
      <c r="C69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16</v>
      </c>
      <c r="D6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69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15</v>
      </c>
      <c r="F6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6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6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6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69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6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6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6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3</v>
      </c>
      <c r="N6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6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23</v>
      </c>
      <c r="P6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6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69" s="49"/>
      <c r="S69" s="8"/>
      <c r="T6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-5</v>
      </c>
      <c r="U6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69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475</v>
      </c>
      <c r="W69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5</v>
      </c>
      <c r="X69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69" s="8"/>
      <c r="Z69" s="8"/>
      <c r="AA69" s="57" t="s">
        <v>521</v>
      </c>
    </row>
    <row r="70" spans="1:27" x14ac:dyDescent="0.25">
      <c r="A70" s="52">
        <v>3000225</v>
      </c>
      <c r="B70" s="83" t="s">
        <v>346</v>
      </c>
      <c r="C7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12</v>
      </c>
      <c r="D7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11</v>
      </c>
      <c r="F7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7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7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7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2</v>
      </c>
      <c r="N7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7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7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0" s="49"/>
      <c r="S70" s="8"/>
      <c r="T7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12</v>
      </c>
      <c r="U7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7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375</v>
      </c>
      <c r="W7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7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70" s="8"/>
      <c r="Z70" s="8"/>
      <c r="AA70" s="57" t="s">
        <v>522</v>
      </c>
    </row>
    <row r="71" spans="1:27" ht="14.45" customHeight="1" x14ac:dyDescent="0.25">
      <c r="A71" s="52">
        <v>3000086</v>
      </c>
      <c r="B71" s="83" t="s">
        <v>347</v>
      </c>
      <c r="C7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</v>
      </c>
      <c r="D7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7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7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7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7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7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7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1" s="49"/>
      <c r="S71" s="8"/>
      <c r="T7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</v>
      </c>
      <c r="U7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7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7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7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71" s="8"/>
      <c r="Z71" s="8"/>
      <c r="AA71" s="98" t="s">
        <v>564</v>
      </c>
    </row>
    <row r="72" spans="1:27" x14ac:dyDescent="0.25">
      <c r="A72" s="52">
        <v>3000250</v>
      </c>
      <c r="B72" s="83" t="s">
        <v>348</v>
      </c>
      <c r="C72" s="79">
        <v>2</v>
      </c>
      <c r="D7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2" s="8">
        <v>2</v>
      </c>
      <c r="K7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7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7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72" s="15">
        <v>15</v>
      </c>
      <c r="O7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7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2" s="49"/>
      <c r="S72" s="8"/>
      <c r="T7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7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72" s="8">
        <v>100</v>
      </c>
      <c r="W72" s="8">
        <v>1</v>
      </c>
      <c r="X72" s="8">
        <v>20</v>
      </c>
      <c r="Y72" s="8"/>
      <c r="Z72" s="8"/>
      <c r="AA72" s="89" t="s">
        <v>573</v>
      </c>
    </row>
    <row r="73" spans="1:27" ht="14.45" customHeight="1" x14ac:dyDescent="0.25">
      <c r="A73" s="52">
        <v>3100021</v>
      </c>
      <c r="B73" s="83" t="s">
        <v>349</v>
      </c>
      <c r="C7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11</v>
      </c>
      <c r="D7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15</v>
      </c>
      <c r="I7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7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7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7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2</v>
      </c>
      <c r="N7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7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8</v>
      </c>
      <c r="P7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3" s="49"/>
      <c r="S73" s="8"/>
      <c r="T7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10</v>
      </c>
      <c r="U7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7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225</v>
      </c>
      <c r="W7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7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73" s="8"/>
      <c r="Z73" s="8"/>
      <c r="AA73" s="57" t="s">
        <v>523</v>
      </c>
    </row>
    <row r="74" spans="1:27" x14ac:dyDescent="0.25">
      <c r="A74" s="52">
        <v>3100161</v>
      </c>
      <c r="B74" s="83" t="s">
        <v>350</v>
      </c>
      <c r="C7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16</v>
      </c>
      <c r="D7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7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7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7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7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7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7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4" s="49"/>
      <c r="S74" s="8"/>
      <c r="T7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13</v>
      </c>
      <c r="U7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3</v>
      </c>
      <c r="V7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400</v>
      </c>
      <c r="W7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7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74" s="8"/>
      <c r="Z74" s="8"/>
      <c r="AA74" s="57" t="s">
        <v>524</v>
      </c>
    </row>
    <row r="75" spans="1:27" ht="14.45" customHeight="1" x14ac:dyDescent="0.25">
      <c r="A75" s="52">
        <v>3100001</v>
      </c>
      <c r="B75" s="83" t="s">
        <v>351</v>
      </c>
      <c r="C7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12</v>
      </c>
      <c r="D7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7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7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7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7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7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38</v>
      </c>
      <c r="P7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5" s="49"/>
      <c r="S75" s="8"/>
      <c r="T7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-5</v>
      </c>
      <c r="U7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7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300</v>
      </c>
      <c r="W7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7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75" s="8"/>
      <c r="Z75" s="8"/>
      <c r="AA75" s="57" t="s">
        <v>525</v>
      </c>
    </row>
    <row r="76" spans="1:27" x14ac:dyDescent="0.25">
      <c r="A76" s="52">
        <v>3000093</v>
      </c>
      <c r="B76" s="83" t="s">
        <v>352</v>
      </c>
      <c r="C7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2</v>
      </c>
      <c r="D7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7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7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7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-5</v>
      </c>
      <c r="N76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7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7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6" s="49"/>
      <c r="S76" s="8"/>
      <c r="T7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8</v>
      </c>
      <c r="U7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76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76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76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76" s="8"/>
      <c r="Z76" s="8"/>
      <c r="AA76" s="57" t="s">
        <v>553</v>
      </c>
    </row>
    <row r="77" spans="1:27" ht="14.45" customHeight="1" x14ac:dyDescent="0.25">
      <c r="A77" s="52">
        <v>3000092</v>
      </c>
      <c r="B77" s="83" t="s">
        <v>353</v>
      </c>
      <c r="C7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2</v>
      </c>
      <c r="D7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7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7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7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-5</v>
      </c>
      <c r="N7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7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7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7" s="49"/>
      <c r="S77" s="8"/>
      <c r="T7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8</v>
      </c>
      <c r="U7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7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7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7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77" s="8"/>
      <c r="Z77" s="8"/>
      <c r="AA77" s="57" t="s">
        <v>553</v>
      </c>
    </row>
    <row r="78" spans="1:27" ht="30" x14ac:dyDescent="0.25">
      <c r="A78" s="52">
        <v>3000302</v>
      </c>
      <c r="B78" s="83" t="s">
        <v>354</v>
      </c>
      <c r="C78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7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8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7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7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7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7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7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-23</v>
      </c>
      <c r="P7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8" s="49" t="s">
        <v>488</v>
      </c>
      <c r="S78" s="8"/>
      <c r="T7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8</v>
      </c>
      <c r="U7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78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78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78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100</v>
      </c>
      <c r="Y78" s="8"/>
      <c r="Z78" s="8"/>
      <c r="AA78" s="96" t="s">
        <v>584</v>
      </c>
    </row>
    <row r="79" spans="1:27" x14ac:dyDescent="0.25">
      <c r="A79" s="52">
        <v>3100121</v>
      </c>
      <c r="B79" s="83" t="s">
        <v>355</v>
      </c>
      <c r="C79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11</v>
      </c>
      <c r="D7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79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7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7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7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7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79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7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7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2</v>
      </c>
      <c r="M7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10</v>
      </c>
      <c r="N7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7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-11</v>
      </c>
      <c r="P7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7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79" s="49"/>
      <c r="S79" s="8"/>
      <c r="T7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-5</v>
      </c>
      <c r="U7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79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375</v>
      </c>
      <c r="W79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4</v>
      </c>
      <c r="X79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79" s="8"/>
      <c r="Z79" s="8"/>
      <c r="AA79" s="57" t="s">
        <v>526</v>
      </c>
    </row>
    <row r="80" spans="1:27" ht="30" x14ac:dyDescent="0.25">
      <c r="A80" s="52">
        <v>3000361</v>
      </c>
      <c r="B80" s="83" t="s">
        <v>356</v>
      </c>
      <c r="C8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13</v>
      </c>
      <c r="D8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8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8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2</v>
      </c>
      <c r="N8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8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-34</v>
      </c>
      <c r="P8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0" s="49" t="s">
        <v>489</v>
      </c>
      <c r="S80" s="8"/>
      <c r="T8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8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325</v>
      </c>
      <c r="W8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8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0" s="8"/>
      <c r="Z80" s="8"/>
      <c r="AA80" s="57" t="s">
        <v>527</v>
      </c>
    </row>
    <row r="81" spans="1:27" x14ac:dyDescent="0.25">
      <c r="A81" s="52">
        <v>3000291</v>
      </c>
      <c r="B81" s="83" t="s">
        <v>357</v>
      </c>
      <c r="C8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8</v>
      </c>
      <c r="D8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5</v>
      </c>
      <c r="F8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8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8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8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8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1" s="49" t="s">
        <v>210</v>
      </c>
      <c r="S81" s="8"/>
      <c r="T8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8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200</v>
      </c>
      <c r="W8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8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1" s="8"/>
      <c r="Z81" s="8"/>
      <c r="AA81" s="57" t="s">
        <v>557</v>
      </c>
    </row>
    <row r="82" spans="1:27" x14ac:dyDescent="0.25">
      <c r="A82" s="52">
        <v>3000101</v>
      </c>
      <c r="B82" s="83" t="s">
        <v>358</v>
      </c>
      <c r="C8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0</v>
      </c>
      <c r="D8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0</v>
      </c>
      <c r="K8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8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8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8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2" s="49"/>
      <c r="S82" s="8"/>
      <c r="T8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82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0</v>
      </c>
      <c r="W82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0</v>
      </c>
      <c r="X82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2" s="8"/>
      <c r="Z82" s="8"/>
      <c r="AA82" s="89" t="s">
        <v>574</v>
      </c>
    </row>
    <row r="83" spans="1:27" ht="30" x14ac:dyDescent="0.25">
      <c r="A83" s="52">
        <v>3100481</v>
      </c>
      <c r="B83" s="83" t="s">
        <v>359</v>
      </c>
      <c r="C8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8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8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8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8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-15</v>
      </c>
      <c r="P8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3" s="49" t="s">
        <v>483</v>
      </c>
      <c r="S83" s="8"/>
      <c r="T8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8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275</v>
      </c>
      <c r="W8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8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3" s="8" t="s">
        <v>360</v>
      </c>
      <c r="Z83" s="8"/>
      <c r="AA83" s="57" t="s">
        <v>555</v>
      </c>
    </row>
    <row r="84" spans="1:27" x14ac:dyDescent="0.25">
      <c r="A84" s="52">
        <v>3000032</v>
      </c>
      <c r="B84" s="83" t="s">
        <v>361</v>
      </c>
      <c r="C8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8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8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8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8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8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4" s="49"/>
      <c r="S84" s="8"/>
      <c r="T8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8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150</v>
      </c>
      <c r="W8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8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4" s="8"/>
      <c r="Z84" s="8"/>
      <c r="AA84" s="57" t="s">
        <v>561</v>
      </c>
    </row>
    <row r="85" spans="1:27" x14ac:dyDescent="0.25">
      <c r="A85" s="52">
        <v>3000031</v>
      </c>
      <c r="B85" s="83" t="s">
        <v>362</v>
      </c>
      <c r="C8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8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8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8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8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8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5" s="49"/>
      <c r="S85" s="8"/>
      <c r="T8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8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150</v>
      </c>
      <c r="W8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8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5" s="8"/>
      <c r="Z85" s="8"/>
      <c r="AA85" s="57" t="s">
        <v>561</v>
      </c>
    </row>
    <row r="86" spans="1:27" x14ac:dyDescent="0.25">
      <c r="A86" s="52">
        <v>3000033</v>
      </c>
      <c r="B86" s="83" t="s">
        <v>363</v>
      </c>
      <c r="C8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8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8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8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86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8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6" s="49"/>
      <c r="S86" s="8"/>
      <c r="T8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86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150</v>
      </c>
      <c r="W86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86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6" s="8"/>
      <c r="Z86" s="8"/>
      <c r="AA86" s="57" t="s">
        <v>561</v>
      </c>
    </row>
    <row r="87" spans="1:27" x14ac:dyDescent="0.25">
      <c r="A87" s="52">
        <v>3000191</v>
      </c>
      <c r="B87" s="83" t="s">
        <v>364</v>
      </c>
      <c r="C8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8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8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8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8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-23</v>
      </c>
      <c r="P8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7" s="49"/>
      <c r="S87" s="8"/>
      <c r="T8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5</v>
      </c>
      <c r="U8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8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8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8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7" s="8"/>
      <c r="Z87" s="8"/>
      <c r="AA87" s="57" t="s">
        <v>558</v>
      </c>
    </row>
    <row r="88" spans="1:27" x14ac:dyDescent="0.25">
      <c r="A88" s="52">
        <v>3100244</v>
      </c>
      <c r="B88" s="83" t="s">
        <v>365</v>
      </c>
      <c r="C88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12</v>
      </c>
      <c r="D8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8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8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8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8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8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8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15</v>
      </c>
      <c r="R88" s="49"/>
      <c r="S88" s="8"/>
      <c r="T8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88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300</v>
      </c>
      <c r="W88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88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8" s="8"/>
      <c r="Z88" s="8"/>
      <c r="AA88" s="98" t="s">
        <v>528</v>
      </c>
    </row>
    <row r="89" spans="1:27" x14ac:dyDescent="0.25">
      <c r="A89" s="52">
        <v>3100171</v>
      </c>
      <c r="B89" s="83" t="s">
        <v>366</v>
      </c>
      <c r="C89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12</v>
      </c>
      <c r="D8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89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8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23</v>
      </c>
      <c r="G8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8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8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89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8</v>
      </c>
      <c r="K8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8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8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4</v>
      </c>
      <c r="N8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8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8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8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89" s="49"/>
      <c r="S89" s="8"/>
      <c r="T8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8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89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500</v>
      </c>
      <c r="W89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89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89" s="8" t="s">
        <v>245</v>
      </c>
      <c r="Z89" s="8"/>
      <c r="AA89" s="57" t="s">
        <v>529</v>
      </c>
    </row>
    <row r="90" spans="1:27" x14ac:dyDescent="0.25">
      <c r="A90" s="52">
        <v>3100101</v>
      </c>
      <c r="B90" s="83" t="s">
        <v>367</v>
      </c>
      <c r="C9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12</v>
      </c>
      <c r="D9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15</v>
      </c>
      <c r="F9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9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9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9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9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9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2</v>
      </c>
      <c r="N9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9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9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0" s="49"/>
      <c r="S90" s="8"/>
      <c r="T9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9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9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250</v>
      </c>
      <c r="W9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9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0" s="8"/>
      <c r="Z90" s="8"/>
      <c r="AA90" s="57" t="s">
        <v>530</v>
      </c>
    </row>
    <row r="91" spans="1:27" x14ac:dyDescent="0.25">
      <c r="A91" s="52">
        <v>3100411</v>
      </c>
      <c r="B91" s="83" t="s">
        <v>368</v>
      </c>
      <c r="C9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13</v>
      </c>
      <c r="D9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9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3</v>
      </c>
      <c r="G9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4</v>
      </c>
      <c r="H9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4</v>
      </c>
      <c r="I9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3</v>
      </c>
      <c r="K9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9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9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9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9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1" s="49" t="s">
        <v>210</v>
      </c>
      <c r="S91" s="8"/>
      <c r="T9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8</v>
      </c>
      <c r="U9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9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250</v>
      </c>
      <c r="W9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9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1" s="8" t="s">
        <v>369</v>
      </c>
      <c r="Z91" s="8"/>
      <c r="AA91" s="57" t="s">
        <v>531</v>
      </c>
    </row>
    <row r="92" spans="1:27" x14ac:dyDescent="0.25">
      <c r="A92" s="52">
        <v>3100151</v>
      </c>
      <c r="B92" s="83" t="s">
        <v>370</v>
      </c>
      <c r="C9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10</v>
      </c>
      <c r="D9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4</v>
      </c>
      <c r="E9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4</v>
      </c>
      <c r="F9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4</v>
      </c>
      <c r="G9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4</v>
      </c>
      <c r="H9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4</v>
      </c>
      <c r="I9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9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9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-15</v>
      </c>
      <c r="N9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-2</v>
      </c>
      <c r="O9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9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2" s="49"/>
      <c r="S92" s="8"/>
      <c r="T9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3</v>
      </c>
      <c r="U9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92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475</v>
      </c>
      <c r="W92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2</v>
      </c>
      <c r="X92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2" s="8"/>
      <c r="Z92" s="8"/>
      <c r="AA92" s="57" t="s">
        <v>559</v>
      </c>
    </row>
    <row r="93" spans="1:27" x14ac:dyDescent="0.25">
      <c r="A93" s="52">
        <v>3000001</v>
      </c>
      <c r="B93" s="83" t="s">
        <v>371</v>
      </c>
      <c r="C9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0</v>
      </c>
      <c r="D9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9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9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9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9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0</v>
      </c>
      <c r="K9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9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9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9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9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3" s="49"/>
      <c r="S93" s="8"/>
      <c r="T9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9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9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0</v>
      </c>
      <c r="W9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0</v>
      </c>
      <c r="X9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3" s="8"/>
      <c r="Z93" s="8"/>
      <c r="AA93" s="89" t="s">
        <v>567</v>
      </c>
    </row>
    <row r="94" spans="1:27" x14ac:dyDescent="0.25">
      <c r="A94" s="52">
        <v>3000133</v>
      </c>
      <c r="B94" s="83" t="s">
        <v>372</v>
      </c>
      <c r="C9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</v>
      </c>
      <c r="D9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9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9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9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9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9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9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9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9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9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4" s="49"/>
      <c r="S94" s="8"/>
      <c r="T9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2</v>
      </c>
      <c r="U9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9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100</v>
      </c>
      <c r="W9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9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4" s="8"/>
      <c r="Z94" s="8"/>
      <c r="AA94" s="98" t="s">
        <v>560</v>
      </c>
    </row>
    <row r="95" spans="1:27" ht="30" x14ac:dyDescent="0.25">
      <c r="A95" s="52">
        <v>3000141</v>
      </c>
      <c r="B95" s="83" t="s">
        <v>373</v>
      </c>
      <c r="C9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9</v>
      </c>
      <c r="D9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9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7</v>
      </c>
      <c r="G9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7</v>
      </c>
      <c r="H9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7</v>
      </c>
      <c r="I9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4</v>
      </c>
      <c r="K9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9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9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9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-23</v>
      </c>
      <c r="P9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5" s="49" t="s">
        <v>487</v>
      </c>
      <c r="S95" s="8"/>
      <c r="T9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9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9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250</v>
      </c>
      <c r="W9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9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5" s="8"/>
      <c r="Z95" s="8"/>
      <c r="AA95" s="57" t="s">
        <v>532</v>
      </c>
    </row>
    <row r="96" spans="1:27" x14ac:dyDescent="0.25">
      <c r="A96" s="52">
        <v>3100141</v>
      </c>
      <c r="B96" s="83" t="s">
        <v>374</v>
      </c>
      <c r="C9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17</v>
      </c>
      <c r="D9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9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9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9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20</v>
      </c>
      <c r="I9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9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4</v>
      </c>
      <c r="L9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96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3</v>
      </c>
      <c r="O9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11</v>
      </c>
      <c r="P9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6" s="49"/>
      <c r="S96" s="8"/>
      <c r="T9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10</v>
      </c>
      <c r="U9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96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0</v>
      </c>
      <c r="W96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5</v>
      </c>
      <c r="X96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6" s="8"/>
      <c r="Z96" s="8"/>
      <c r="AA96" s="57" t="s">
        <v>533</v>
      </c>
    </row>
    <row r="97" spans="1:27" x14ac:dyDescent="0.25">
      <c r="A97" s="52">
        <v>3000102</v>
      </c>
      <c r="B97" s="83" t="s">
        <v>375</v>
      </c>
      <c r="C9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0</v>
      </c>
      <c r="D9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9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9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9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9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0</v>
      </c>
      <c r="K9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9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9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9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9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7" s="49"/>
      <c r="S97" s="8"/>
      <c r="T9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9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9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0</v>
      </c>
      <c r="W9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0</v>
      </c>
      <c r="X9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7" s="8"/>
      <c r="Z97" s="8"/>
      <c r="AA97" s="89" t="s">
        <v>575</v>
      </c>
    </row>
    <row r="98" spans="1:27" x14ac:dyDescent="0.25">
      <c r="A98" s="52">
        <v>3100466</v>
      </c>
      <c r="B98" s="83" t="s">
        <v>376</v>
      </c>
      <c r="C98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13</v>
      </c>
      <c r="D9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9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9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9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9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8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9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9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6</v>
      </c>
      <c r="N9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9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4</v>
      </c>
      <c r="P9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8" s="49"/>
      <c r="S98" s="8"/>
      <c r="T9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10</v>
      </c>
      <c r="U9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98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325</v>
      </c>
      <c r="W98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98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8" s="8" t="s">
        <v>338</v>
      </c>
      <c r="Z98" s="8"/>
      <c r="AA98" s="57" t="s">
        <v>534</v>
      </c>
    </row>
    <row r="99" spans="1:27" x14ac:dyDescent="0.25">
      <c r="A99" s="52">
        <v>3100261</v>
      </c>
      <c r="B99" s="83" t="s">
        <v>377</v>
      </c>
      <c r="C99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11</v>
      </c>
      <c r="D9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99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9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9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9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9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99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9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9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9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1</v>
      </c>
      <c r="N9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9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0</v>
      </c>
      <c r="P9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9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99" s="49"/>
      <c r="S99" s="8"/>
      <c r="T9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9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99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300</v>
      </c>
      <c r="W99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99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99" s="8"/>
      <c r="Z99" s="8"/>
      <c r="AA99" s="57" t="s">
        <v>535</v>
      </c>
    </row>
    <row r="100" spans="1:27" ht="30" x14ac:dyDescent="0.25">
      <c r="A100" s="52">
        <v>3000341</v>
      </c>
      <c r="B100" s="83" t="s">
        <v>378</v>
      </c>
      <c r="C10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6</v>
      </c>
      <c r="D10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5</v>
      </c>
      <c r="E10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5</v>
      </c>
      <c r="F10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5</v>
      </c>
      <c r="G10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5</v>
      </c>
      <c r="H10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5</v>
      </c>
      <c r="I10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10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0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10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0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-19</v>
      </c>
      <c r="P10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0" s="49" t="s">
        <v>490</v>
      </c>
      <c r="S100" s="8"/>
      <c r="T10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10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10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200</v>
      </c>
      <c r="W10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10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00" s="8"/>
      <c r="Z100" s="8"/>
      <c r="AA100" s="57" t="s">
        <v>562</v>
      </c>
    </row>
    <row r="101" spans="1:27" x14ac:dyDescent="0.25">
      <c r="A101" s="52">
        <v>3100201</v>
      </c>
      <c r="B101" s="83" t="s">
        <v>379</v>
      </c>
      <c r="C10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17</v>
      </c>
      <c r="D10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0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0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0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0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10</v>
      </c>
      <c r="K10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10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3</v>
      </c>
      <c r="N10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2</v>
      </c>
      <c r="O10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38</v>
      </c>
      <c r="P10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1" s="49" t="s">
        <v>235</v>
      </c>
      <c r="S101" s="8"/>
      <c r="T10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-5</v>
      </c>
      <c r="U10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0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475</v>
      </c>
      <c r="W10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5</v>
      </c>
      <c r="X10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01" s="8"/>
      <c r="Z101" s="8"/>
      <c r="AA101" s="57" t="s">
        <v>563</v>
      </c>
    </row>
    <row r="102" spans="1:27" x14ac:dyDescent="0.25">
      <c r="A102" s="52">
        <v>3000063</v>
      </c>
      <c r="B102" s="83" t="s">
        <v>380</v>
      </c>
      <c r="C102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6</v>
      </c>
      <c r="D102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02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15</v>
      </c>
      <c r="F102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2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15</v>
      </c>
      <c r="H102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15</v>
      </c>
      <c r="I102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2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102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02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2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102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02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-15</v>
      </c>
      <c r="P102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2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2" s="49"/>
      <c r="S102" s="8"/>
      <c r="T102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102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02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275</v>
      </c>
      <c r="W102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102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02" s="8"/>
      <c r="Z102" s="8"/>
      <c r="AA102" s="57" t="s">
        <v>556</v>
      </c>
    </row>
    <row r="103" spans="1:27" ht="45" x14ac:dyDescent="0.25">
      <c r="A103" s="52">
        <v>3000061</v>
      </c>
      <c r="B103" s="83" t="s">
        <v>381</v>
      </c>
      <c r="C103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6</v>
      </c>
      <c r="D103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03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15</v>
      </c>
      <c r="F103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3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15</v>
      </c>
      <c r="H103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15</v>
      </c>
      <c r="I103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3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1</v>
      </c>
      <c r="K103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03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3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103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03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-15</v>
      </c>
      <c r="P103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3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3" s="49" t="s">
        <v>485</v>
      </c>
      <c r="S103" s="8"/>
      <c r="T103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103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03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275</v>
      </c>
      <c r="W103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103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03" s="8"/>
      <c r="Z103" s="8"/>
      <c r="AA103" s="57" t="s">
        <v>556</v>
      </c>
    </row>
    <row r="104" spans="1:27" ht="30" x14ac:dyDescent="0.25">
      <c r="A104" s="52">
        <v>3000303</v>
      </c>
      <c r="B104" s="83" t="s">
        <v>382</v>
      </c>
      <c r="C104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104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04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04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4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04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04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4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104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04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4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104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04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-23</v>
      </c>
      <c r="P104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4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4" s="49" t="s">
        <v>482</v>
      </c>
      <c r="S104" s="8"/>
      <c r="T104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8</v>
      </c>
      <c r="U104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04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104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104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100</v>
      </c>
      <c r="Y104" s="8"/>
      <c r="Z104" s="8"/>
      <c r="AA104" s="96" t="s">
        <v>584</v>
      </c>
    </row>
    <row r="105" spans="1:27" x14ac:dyDescent="0.25">
      <c r="A105" s="52">
        <v>3000301</v>
      </c>
      <c r="B105" s="83" t="s">
        <v>383</v>
      </c>
      <c r="C105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105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05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05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5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05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05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5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105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05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5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105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05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-23</v>
      </c>
      <c r="P105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5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5" s="49" t="s">
        <v>200</v>
      </c>
      <c r="S105" s="8"/>
      <c r="T105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8</v>
      </c>
      <c r="U105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05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105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105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100</v>
      </c>
      <c r="Y105" s="8"/>
      <c r="Z105" s="8"/>
      <c r="AA105" s="96" t="s">
        <v>584</v>
      </c>
    </row>
    <row r="106" spans="1:27" x14ac:dyDescent="0.25">
      <c r="A106" s="52">
        <v>3000300</v>
      </c>
      <c r="B106" s="83" t="s">
        <v>384</v>
      </c>
      <c r="C106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5</v>
      </c>
      <c r="D106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06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06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6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06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06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6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2</v>
      </c>
      <c r="K106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0</v>
      </c>
      <c r="L106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6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106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06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-23</v>
      </c>
      <c r="P106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6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6" s="49" t="s">
        <v>154</v>
      </c>
      <c r="S106" s="8"/>
      <c r="T106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8</v>
      </c>
      <c r="U106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06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175</v>
      </c>
      <c r="W106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106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100</v>
      </c>
      <c r="Y106" s="8"/>
      <c r="Z106" s="8"/>
      <c r="AA106" s="96" t="s">
        <v>584</v>
      </c>
    </row>
    <row r="107" spans="1:27" x14ac:dyDescent="0.25">
      <c r="A107" s="52">
        <v>3100211</v>
      </c>
      <c r="B107" s="83" t="s">
        <v>385</v>
      </c>
      <c r="C107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4</v>
      </c>
      <c r="D107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07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07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7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07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07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7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107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107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7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0</v>
      </c>
      <c r="N107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0</v>
      </c>
      <c r="O107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-23</v>
      </c>
      <c r="P107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7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7" s="49"/>
      <c r="S107" s="8"/>
      <c r="T107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107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107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225</v>
      </c>
      <c r="W107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1</v>
      </c>
      <c r="X107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07" s="8"/>
      <c r="Z107" s="8"/>
      <c r="AA107" s="57" t="s">
        <v>536</v>
      </c>
    </row>
    <row r="108" spans="1:27" x14ac:dyDescent="0.25">
      <c r="A108" s="52">
        <v>3100221</v>
      </c>
      <c r="B108" s="83" t="s">
        <v>386</v>
      </c>
      <c r="C108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12</v>
      </c>
      <c r="D108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08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08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8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08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08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8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5</v>
      </c>
      <c r="K108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1</v>
      </c>
      <c r="L108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8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2</v>
      </c>
      <c r="N108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108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-11</v>
      </c>
      <c r="P108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2</v>
      </c>
      <c r="Q108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8" s="49"/>
      <c r="S108" s="8"/>
      <c r="T108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0</v>
      </c>
      <c r="U108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2</v>
      </c>
      <c r="V108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300</v>
      </c>
      <c r="W108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108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08" s="8" t="s">
        <v>387</v>
      </c>
      <c r="Z108" s="8"/>
      <c r="AA108" s="57" t="s">
        <v>537</v>
      </c>
    </row>
    <row r="109" spans="1:27" x14ac:dyDescent="0.25">
      <c r="A109" s="52">
        <v>3100012</v>
      </c>
      <c r="B109" s="83" t="s">
        <v>388</v>
      </c>
      <c r="C109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16</v>
      </c>
      <c r="D109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15</v>
      </c>
      <c r="E109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09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09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09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09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09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109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109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09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109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109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23</v>
      </c>
      <c r="P109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09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09" s="49"/>
      <c r="S109" s="8"/>
      <c r="T109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-6</v>
      </c>
      <c r="U109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109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450</v>
      </c>
      <c r="W109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109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09" s="8"/>
      <c r="Z109" s="8"/>
      <c r="AA109" s="57" t="s">
        <v>538</v>
      </c>
    </row>
    <row r="110" spans="1:27" x14ac:dyDescent="0.25">
      <c r="A110" s="52">
        <v>3100011</v>
      </c>
      <c r="B110" s="83" t="s">
        <v>389</v>
      </c>
      <c r="C110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16</v>
      </c>
      <c r="D110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15</v>
      </c>
      <c r="E110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10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10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10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10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10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7</v>
      </c>
      <c r="K110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110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10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5</v>
      </c>
      <c r="N110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1</v>
      </c>
      <c r="O110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23</v>
      </c>
      <c r="P110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10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0</v>
      </c>
      <c r="R110" s="49"/>
      <c r="S110" s="8"/>
      <c r="T110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-6</v>
      </c>
      <c r="U110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1</v>
      </c>
      <c r="V110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450</v>
      </c>
      <c r="W110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3</v>
      </c>
      <c r="X110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10" s="8"/>
      <c r="Z110" s="8"/>
      <c r="AA110" s="57" t="s">
        <v>538</v>
      </c>
    </row>
    <row r="111" spans="1:27" x14ac:dyDescent="0.25">
      <c r="A111" s="52">
        <v>3100030</v>
      </c>
      <c r="B111" s="83" t="s">
        <v>390</v>
      </c>
      <c r="C111" s="79">
        <f ca="1" xml:space="preserve"> MROUND(INDEX(SetsBaseStats[],MATCH(Tab_Helmets[[#This Row],[Tag]],SetsBaseStats[Tag],0),MATCH(C$1,SetsBaseStats[#Headers],0))*INDEX(Modifiers[],MATCH($B$114,Modifiers[Armour Type],0),MATCH("Resistance",Modifiers[#Headers],0)),Tab_RoundTo[Resistance] * SIGN(INDEX(SetsBaseStats[],MATCH(Tab_Helmets[[#This Row],[Tag]],SetsBaseStats[Tag],0),MATCH(C$1,SetsBaseStats[#Headers],0))))</f>
        <v>15</v>
      </c>
      <c r="D111" s="65">
        <f ca="1" xml:space="preserve"> MROUND(INDEX(SetsBaseStats[],MATCH(Tab_Helmets[[#This Row],[Tag]],SetsBaseStats[Tag],0),MATCH(D$1,SetsBaseStats[#Headers],0))*INDEX(Modifiers[],MATCH($B$114,Modifiers[Armour Type],0),MATCH("Resistance",Modifiers[#Headers],0)),Tab_RoundTo[Resistance] * SIGN(INDEX(SetsBaseStats[],MATCH(Tab_Helmets[[#This Row],[Tag]],SetsBaseStats[Tag],0),MATCH(D$1,SetsBaseStats[#Headers],0))))</f>
        <v>0</v>
      </c>
      <c r="E111" s="73">
        <f ca="1" xml:space="preserve"> MROUND(INDEX(SetsBaseStats[],MATCH(Tab_Helmets[[#This Row],[Tag]],SetsBaseStats[Tag],0),MATCH(E$1,SetsBaseStats[#Headers],0))*INDEX(Modifiers[],MATCH($B$114,Modifiers[Armour Type],0),MATCH("Resistance",Modifiers[#Headers],0)),Tab_RoundTo[Resistance] * SIGN(INDEX(SetsBaseStats[],MATCH(Tab_Helmets[[#This Row],[Tag]],SetsBaseStats[Tag],0),MATCH(E$1,SetsBaseStats[#Headers],0))))</f>
        <v>0</v>
      </c>
      <c r="F111" s="69">
        <f ca="1" xml:space="preserve"> MROUND(INDEX(SetsBaseStats[],MATCH(Tab_Helmets[[#This Row],[Tag]],SetsBaseStats[Tag],0),MATCH(F$1,SetsBaseStats[#Headers],0))*INDEX(Modifiers[],MATCH($B$114,Modifiers[Armour Type],0),MATCH("Resistance",Modifiers[#Headers],0)),Tab_RoundTo[Resistance] * SIGN(INDEX(SetsBaseStats[],MATCH(Tab_Helmets[[#This Row],[Tag]],SetsBaseStats[Tag],0),MATCH(F$1,SetsBaseStats[#Headers],0))))</f>
        <v>0</v>
      </c>
      <c r="G111" s="71">
        <f ca="1" xml:space="preserve"> MROUND(INDEX(SetsBaseStats[],MATCH(Tab_Helmets[[#This Row],[Tag]],SetsBaseStats[Tag],0),MATCH(G$1,SetsBaseStats[#Headers],0))*INDEX(Modifiers[],MATCH($B$114,Modifiers[Armour Type],0),MATCH("Resistance",Modifiers[#Headers],0)),Tab_RoundTo[Resistance] * SIGN(INDEX(SetsBaseStats[],MATCH(Tab_Helmets[[#This Row],[Tag]],SetsBaseStats[Tag],0),MATCH(G$1,SetsBaseStats[#Headers],0))))</f>
        <v>0</v>
      </c>
      <c r="H111" s="66">
        <f ca="1" xml:space="preserve"> MROUND(INDEX(SetsBaseStats[],MATCH(Tab_Helmets[[#This Row],[Tag]],SetsBaseStats[Tag],0),MATCH(H$1,SetsBaseStats[#Headers],0))*INDEX(Modifiers[],MATCH($B$114,Modifiers[Armour Type],0),MATCH("Resistance",Modifiers[#Headers],0)),Tab_RoundTo[Resistance] * SIGN(INDEX(SetsBaseStats[],MATCH(Tab_Helmets[[#This Row],[Tag]],SetsBaseStats[Tag],0),MATCH(H$1,SetsBaseStats[#Headers],0))))</f>
        <v>0</v>
      </c>
      <c r="I111" s="75">
        <f ca="1" xml:space="preserve"> MROUND(INDEX(SetsBaseStats[],MATCH(Tab_Helmets[[#This Row],[Tag]],SetsBaseStats[Tag],0),MATCH(I$1,SetsBaseStats[#Headers],0))*INDEX(Modifiers[],MATCH($B$114,Modifiers[Armour Type],0),MATCH("Resistance",Modifiers[#Headers],0)),Tab_RoundTo[Resistance] * SIGN(INDEX(SetsBaseStats[],MATCH(Tab_Helmets[[#This Row],[Tag]],SetsBaseStats[Tag],0),MATCH(I$1,SetsBaseStats[#Headers],0))))</f>
        <v>0</v>
      </c>
      <c r="J111" s="8">
        <f ca="1" xml:space="preserve"> MROUND(INDEX(SetsBaseStats[],MATCH(Tab_Helmets[[#This Row],[Tag]],SetsBaseStats[Tag],0),MATCH(J$1,SetsBaseStats[#Headers],0))*INDEX(Modifiers[],MATCH($B$114,Modifiers[Armour Type],0),MATCH(J$1,Modifiers[#Headers],0)),INDEX(Tab_RoundTo[],1,MATCH(J$1,Tab_RoundTo[#Headers],0))* SIGN(INDEX(SetsBaseStats[],MATCH(Tab_Helmets[[#This Row],[Tag]],SetsBaseStats[Tag],0),MATCH(J$1,SetsBaseStats[#Headers],0))))</f>
        <v>6</v>
      </c>
      <c r="K111" s="8">
        <f ca="1" xml:space="preserve"> MROUND(INDEX(SetsBaseStats[],MATCH(Tab_Helmets[[#This Row],[Tag]],SetsBaseStats[Tag],0),MATCH(K$1,SetsBaseStats[#Headers],0))*INDEX(Modifiers[],MATCH($B$114,Modifiers[Armour Type],0),MATCH(K$1,Modifiers[#Headers],0)),INDEX(Tab_RoundTo[],1,MATCH(K$1,Tab_RoundTo[#Headers],0))* SIGN(INDEX(SetsBaseStats[],MATCH(Tab_Helmets[[#This Row],[Tag]],SetsBaseStats[Tag],0),MATCH(K$1,SetsBaseStats[#Headers],0))))</f>
        <v>2</v>
      </c>
      <c r="L111" s="8">
        <f ca="1" xml:space="preserve"> MROUND(INDEX(SetsBaseStats[],MATCH(Tab_Helmets[[#This Row],[Tag]],SetsBaseStats[Tag],0),MATCH(L$1,SetsBaseStats[#Headers],0))*INDEX(Modifiers[],MATCH($B$114,Modifiers[Armour Type],0),MATCH(L$1,Modifiers[#Headers],0)),INDEX(Tab_RoundTo[],1,MATCH(L$1,Tab_RoundTo[#Headers],0))* SIGN(INDEX(SetsBaseStats[],MATCH(Tab_Helmets[[#This Row],[Tag]],SetsBaseStats[Tag],0),MATCH(L$1,SetsBaseStats[#Headers],0))))</f>
        <v>0</v>
      </c>
      <c r="M111" s="8">
        <f ca="1" xml:space="preserve"> MROUND(INDEX(SetsBaseStats[],MATCH(Tab_Helmets[[#This Row],[Tag]],SetsBaseStats[Tag],0),MATCH(M$1,SetsBaseStats[#Headers],0))*INDEX(Modifiers[],MATCH($B$114,Modifiers[Armour Type],0),MATCH(M$1,Modifiers[#Headers],0)),INDEX(Tab_RoundTo[],1,MATCH(M$1,Tab_RoundTo[#Headers],0))* SIGN(INDEX(SetsBaseStats[],MATCH(Tab_Helmets[[#This Row],[Tag]],SetsBaseStats[Tag],0),MATCH(M$1,SetsBaseStats[#Headers],0))))</f>
        <v>7</v>
      </c>
      <c r="N111" s="15">
        <f ca="1" xml:space="preserve"> MROUND(INDEX(SetsBaseStats[],MATCH(Tab_Helmets[[#This Row],[Tag]],SetsBaseStats[Tag],0),MATCH(N$1,SetsBaseStats[#Headers],0))*INDEX(Modifiers[],MATCH($B$114,Modifiers[Armour Type],0),MATCH(N$1,Modifiers[#Headers],0)),INDEX(Tab_RoundTo[],1,MATCH(N$1,Tab_RoundTo[#Headers],0))* SIGN(INDEX(SetsBaseStats[],MATCH(Tab_Helmets[[#This Row],[Tag]],SetsBaseStats[Tag],0),MATCH(N$1,SetsBaseStats[#Headers],0))))</f>
        <v>-2</v>
      </c>
      <c r="O111" s="8">
        <f ca="1" xml:space="preserve"> MROUND(INDEX(SetsBaseStats[],MATCH(Tab_Helmets[[#This Row],[Tag]],SetsBaseStats[Tag],0),MATCH(O$1,SetsBaseStats[#Headers],0))*INDEX(Modifiers[],MATCH($B$114,Modifiers[Armour Type],0),MATCH(O$1,Modifiers[#Headers],0)),INDEX(Tab_RoundTo[],1,MATCH(O$1,Tab_RoundTo[#Headers],0))* SIGN(INDEX(SetsBaseStats[],MATCH(Tab_Helmets[[#This Row],[Tag]],SetsBaseStats[Tag],0),MATCH(O$1,SetsBaseStats[#Headers],0))))</f>
        <v>23</v>
      </c>
      <c r="P111" s="8">
        <f ca="1" xml:space="preserve"> MROUND(INDEX(SetsBaseStats[],MATCH(Tab_Helmets[[#This Row],[Tag]],SetsBaseStats[Tag],0),MATCH(P$1,SetsBaseStats[#Headers],0))*INDEX(Modifiers[],MATCH($B$114,Modifiers[Armour Type],0),MATCH(P$1,Modifiers[#Headers],0)),INDEX(Tab_RoundTo[],1,MATCH(P$1,Tab_RoundTo[#Headers],0))* SIGN(INDEX(SetsBaseStats[],MATCH(Tab_Helmets[[#This Row],[Tag]],SetsBaseStats[Tag],0),MATCH(P$1,SetsBaseStats[#Headers],0))))</f>
        <v>0</v>
      </c>
      <c r="Q111" s="8">
        <f ca="1" xml:space="preserve"> MROUND(INDEX(SetsBaseStats[],MATCH(Tab_Helmets[[#This Row],[Tag]],SetsBaseStats[Tag],0),MATCH(Q$1,SetsBaseStats[#Headers],0))*INDEX(Modifiers[],MATCH($B$114,Modifiers[Armour Type],0),MATCH(Q$1,Modifiers[#Headers],0)),INDEX(Tab_RoundTo[],1,MATCH(Q$1,Tab_RoundTo[#Headers],0))* SIGN(INDEX(SetsBaseStats[],MATCH(Tab_Helmets[[#This Row],[Tag]],SetsBaseStats[Tag],0),MATCH(Q$1,SetsBaseStats[#Headers],0))))</f>
        <v>-8</v>
      </c>
      <c r="R111" s="49" t="s">
        <v>149</v>
      </c>
      <c r="S111" s="8"/>
      <c r="T111" s="8">
        <f ca="1" xml:space="preserve"> MROUND(INDEX(SetsBaseStats[],MATCH(Tab_Helmets[[#This Row],[Tag]],SetsBaseStats[Tag],0),MATCH(T$1,SetsBaseStats[#Headers],0))*INDEX(Modifiers[],MATCH($B$114,Modifiers[Armour Type],0),MATCH(T$1,Modifiers[#Headers],0)),INDEX(Tab_RoundTo[],1,MATCH(T$1,Tab_RoundTo[#Headers],0))* SIGN(INDEX(SetsBaseStats[],MATCH(Tab_Helmets[[#This Row],[Tag]],SetsBaseStats[Tag],0),MATCH(T$1,SetsBaseStats[#Headers],0))))</f>
        <v>16</v>
      </c>
      <c r="U111" s="8">
        <f ca="1" xml:space="preserve"> MROUND(INDEX(SetsBaseStats[],MATCH(Tab_Helmets[[#This Row],[Tag]],SetsBaseStats[Tag],0),MATCH(U$1,SetsBaseStats[#Headers],0))*INDEX(Modifiers[],MATCH($B$114,Modifiers[Armour Type],0),MATCH(U$1,Modifiers[#Headers],0)),INDEX(Tab_RoundTo[],1,MATCH(U$1,Tab_RoundTo[#Headers],0))* SIGN(INDEX(SetsBaseStats[],MATCH(Tab_Helmets[[#This Row],[Tag]],SetsBaseStats[Tag],0),MATCH(U$1,SetsBaseStats[#Headers],0))))</f>
        <v>0</v>
      </c>
      <c r="V111" s="8">
        <f ca="1" xml:space="preserve"> MROUND(INDEX(SetsBaseStats[],MATCH(Tab_Helmets[[#This Row],[Tag]],SetsBaseStats[Tag],0),MATCH(V$1,SetsBaseStats[#Headers],0))*INDEX(Modifiers[],MATCH($B$114,Modifiers[Armour Type],0),MATCH(V$1,Modifiers[#Headers],0)),INDEX(Tab_RoundTo[],1,MATCH(V$1,Tab_RoundTo[#Headers],0))* SIGN(INDEX(SetsBaseStats[],MATCH(Tab_Helmets[[#This Row],[Tag]],SetsBaseStats[Tag],0),MATCH(V$1,SetsBaseStats[#Headers],0))))</f>
        <v>550</v>
      </c>
      <c r="W111" s="8">
        <f ca="1" xml:space="preserve"> MROUND(INDEX(SetsBaseStats[],MATCH(Tab_Helmets[[#This Row],[Tag]],SetsBaseStats[Tag],0),MATCH(W$1,SetsBaseStats[#Headers],0))*INDEX(Modifiers[],MATCH($B$114,Modifiers[Armour Type],0),MATCH(W$1,Modifiers[#Headers],0)),INDEX(Tab_RoundTo[],1,MATCH(W$1,Tab_RoundTo[#Headers],0))* SIGN(INDEX(SetsBaseStats[],MATCH(Tab_Helmets[[#This Row],[Tag]],SetsBaseStats[Tag],0),MATCH(W$1,SetsBaseStats[#Headers],0))))</f>
        <v>5</v>
      </c>
      <c r="X111" s="8">
        <f ca="1" xml:space="preserve"> MROUND(INDEX(SetsBaseStats[],MATCH(Tab_Helmets[[#This Row],[Tag]],SetsBaseStats[Tag],0),MATCH(X$1,SetsBaseStats[#Headers],0))*INDEX(Modifiers[],MATCH($B$114,Modifiers[Armour Type],0),MATCH(X$1,Modifiers[#Headers],0)),INDEX(Tab_RoundTo[],1,MATCH(X$1,Tab_RoundTo[#Headers],0))* SIGN(INDEX(SetsBaseStats[],MATCH(Tab_Helmets[[#This Row],[Tag]],SetsBaseStats[Tag],0),MATCH(X$1,SetsBaseStats[#Headers],0))))</f>
        <v>0</v>
      </c>
      <c r="Y111" s="8"/>
      <c r="Z111" s="8"/>
      <c r="AA111" s="57" t="s">
        <v>539</v>
      </c>
    </row>
    <row r="112" spans="1:27" x14ac:dyDescent="0.25">
      <c r="A112" s="82"/>
      <c r="B112" s="31"/>
      <c r="C112" s="8"/>
      <c r="D112" s="8"/>
      <c r="E112" s="8"/>
      <c r="F112" s="8"/>
      <c r="G112" s="8"/>
      <c r="H112" s="8"/>
      <c r="I112" s="8"/>
      <c r="J112" s="8"/>
      <c r="K112" s="15"/>
      <c r="L112" s="33"/>
      <c r="M112" s="8"/>
      <c r="N112" s="15"/>
      <c r="O112" s="8"/>
      <c r="P112" s="8"/>
      <c r="Q112" s="8"/>
      <c r="R112" s="14"/>
      <c r="S112" s="7"/>
      <c r="T112" s="7"/>
      <c r="U112" s="34"/>
      <c r="V112" s="7"/>
      <c r="W112" s="7"/>
      <c r="X112" s="7"/>
      <c r="Y112" s="7"/>
      <c r="Z112" s="7"/>
      <c r="AA112" s="7"/>
    </row>
    <row r="113" spans="1:27" x14ac:dyDescent="0.25">
      <c r="A113" s="82"/>
      <c r="B113" s="31"/>
      <c r="C113" s="8"/>
      <c r="D113" s="8"/>
      <c r="E113" s="8"/>
      <c r="F113" s="8"/>
      <c r="G113" s="8"/>
      <c r="H113" s="8"/>
      <c r="I113" s="8"/>
      <c r="J113" s="8"/>
      <c r="K113" s="15"/>
      <c r="L113" s="33"/>
      <c r="M113" s="8"/>
      <c r="N113" s="15"/>
      <c r="O113" s="8"/>
      <c r="P113" s="8"/>
      <c r="Q113" s="8"/>
      <c r="R113" s="14"/>
      <c r="S113" s="7"/>
      <c r="T113" s="7"/>
      <c r="U113" s="34"/>
      <c r="V113" s="7"/>
      <c r="W113" s="7"/>
      <c r="X113" s="7"/>
      <c r="Y113" s="7"/>
      <c r="Z113" s="7"/>
      <c r="AA113" s="7"/>
    </row>
    <row r="114" spans="1:27" x14ac:dyDescent="0.25">
      <c r="A114" s="82" t="s">
        <v>582</v>
      </c>
      <c r="B114" s="94" t="str">
        <f ca="1">MID(CELL("filename",$A$1),SEARCH("]",CELL("filename",$A$1))+1,31)</f>
        <v>Helmets</v>
      </c>
      <c r="C114" s="8"/>
      <c r="D114" s="8"/>
      <c r="E114" s="8"/>
      <c r="F114" s="8"/>
      <c r="G114" s="8"/>
      <c r="H114" s="8"/>
      <c r="I114" s="8"/>
      <c r="J114" s="8"/>
      <c r="K114" s="15"/>
      <c r="L114" s="33"/>
      <c r="M114" s="8"/>
      <c r="N114" s="15"/>
      <c r="O114" s="8"/>
      <c r="P114" s="8"/>
      <c r="Q114" s="8"/>
      <c r="R114" s="14"/>
      <c r="S114" s="7"/>
      <c r="T114" s="7"/>
      <c r="U114" s="34"/>
      <c r="V114" s="7"/>
      <c r="W114" s="7"/>
      <c r="X114" s="7"/>
      <c r="Y114" s="7"/>
      <c r="Z114" s="7"/>
      <c r="AA114" s="7"/>
    </row>
    <row r="115" spans="1:27" x14ac:dyDescent="0.25">
      <c r="A115" s="82"/>
      <c r="B115" s="31"/>
      <c r="C115" s="8"/>
      <c r="D115" s="8"/>
      <c r="E115" s="8"/>
      <c r="F115" s="8"/>
      <c r="G115" s="8"/>
      <c r="H115" s="8"/>
      <c r="I115" s="8"/>
      <c r="J115" s="8"/>
      <c r="K115" s="15"/>
      <c r="L115" s="33"/>
      <c r="M115" s="8"/>
      <c r="N115" s="15"/>
      <c r="O115" s="8"/>
      <c r="P115" s="8"/>
      <c r="Q115" s="8"/>
      <c r="R115" s="14"/>
      <c r="S115" s="7"/>
      <c r="T115" s="7"/>
      <c r="U115" s="34"/>
      <c r="V115" s="7"/>
      <c r="W115" s="7"/>
      <c r="X115" s="7"/>
      <c r="Y115" s="7"/>
      <c r="Z115" s="7"/>
      <c r="AA115" s="7"/>
    </row>
    <row r="116" spans="1:27" x14ac:dyDescent="0.25">
      <c r="A116" s="82"/>
      <c r="B116" s="31"/>
      <c r="C116" s="8"/>
      <c r="D116" s="8"/>
      <c r="E116" s="8"/>
      <c r="F116" s="8"/>
      <c r="G116" s="8"/>
      <c r="H116" s="8"/>
      <c r="I116" s="8"/>
      <c r="J116" s="8"/>
      <c r="K116" s="15"/>
      <c r="L116" s="33"/>
      <c r="M116" s="8"/>
      <c r="N116" s="15"/>
      <c r="O116" s="8"/>
      <c r="P116" s="8"/>
      <c r="Q116" s="8"/>
      <c r="R116" s="14"/>
      <c r="S116" s="7"/>
      <c r="T116" s="7"/>
      <c r="U116" s="34"/>
      <c r="V116" s="7"/>
      <c r="W116" s="7"/>
      <c r="X116" s="7"/>
      <c r="Y116" s="7"/>
      <c r="Z116" s="7"/>
      <c r="AA116" s="7"/>
    </row>
    <row r="117" spans="1:27" x14ac:dyDescent="0.25">
      <c r="A117" s="82"/>
      <c r="B117" s="31"/>
      <c r="C117" s="8"/>
      <c r="D117" s="8"/>
      <c r="E117" s="8"/>
      <c r="F117" s="8"/>
      <c r="G117" s="8"/>
      <c r="H117" s="8"/>
      <c r="I117" s="8"/>
      <c r="J117" s="8"/>
      <c r="K117" s="15"/>
      <c r="L117" s="33"/>
      <c r="M117" s="8"/>
      <c r="N117" s="15"/>
      <c r="O117" s="8"/>
      <c r="P117" s="8"/>
      <c r="Q117" s="8"/>
      <c r="R117" s="14"/>
      <c r="S117" s="7"/>
      <c r="T117" s="7"/>
      <c r="U117" s="34"/>
      <c r="V117" s="7"/>
      <c r="W117" s="7"/>
      <c r="X117" s="7"/>
      <c r="Y117" s="7"/>
      <c r="Z117" s="7"/>
      <c r="AA117" s="7"/>
    </row>
    <row r="118" spans="1:27" x14ac:dyDescent="0.25">
      <c r="A118" s="82"/>
      <c r="B118" s="31"/>
      <c r="C118" s="8"/>
      <c r="D118" s="8"/>
      <c r="E118" s="8"/>
      <c r="F118" s="8"/>
      <c r="G118" s="8"/>
      <c r="H118" s="8"/>
      <c r="I118" s="8"/>
      <c r="J118" s="8"/>
      <c r="K118" s="15"/>
      <c r="L118" s="33"/>
      <c r="M118" s="8"/>
      <c r="N118" s="15"/>
      <c r="O118" s="8"/>
      <c r="P118" s="8"/>
      <c r="Q118" s="8"/>
      <c r="R118" s="14"/>
      <c r="S118" s="7"/>
      <c r="T118" s="7"/>
      <c r="U118" s="34"/>
      <c r="V118" s="7"/>
      <c r="W118" s="7"/>
      <c r="X118" s="7"/>
      <c r="Y118" s="7"/>
      <c r="Z118" s="7"/>
      <c r="AA118" s="7"/>
    </row>
    <row r="119" spans="1:27" x14ac:dyDescent="0.25">
      <c r="A119" s="82"/>
      <c r="B119" s="31"/>
      <c r="C119" s="8"/>
      <c r="D119" s="8"/>
      <c r="E119" s="8"/>
      <c r="F119" s="8"/>
      <c r="G119" s="8"/>
      <c r="H119" s="8"/>
      <c r="I119" s="8"/>
      <c r="J119" s="8"/>
      <c r="K119" s="15"/>
      <c r="L119" s="33"/>
      <c r="M119" s="8"/>
      <c r="N119" s="15"/>
      <c r="O119" s="8"/>
      <c r="P119" s="8"/>
      <c r="Q119" s="8"/>
      <c r="R119" s="14"/>
      <c r="S119" s="7"/>
      <c r="T119" s="7"/>
      <c r="U119" s="34"/>
      <c r="V119" s="7"/>
      <c r="W119" s="7"/>
      <c r="X119" s="7"/>
      <c r="Y119" s="7"/>
      <c r="Z119" s="7"/>
      <c r="AA119" s="7"/>
    </row>
    <row r="120" spans="1:27" x14ac:dyDescent="0.25">
      <c r="A120" s="82"/>
      <c r="B120" s="46"/>
      <c r="C120" s="8"/>
      <c r="D120" s="8"/>
      <c r="E120" s="8"/>
      <c r="F120" s="8"/>
      <c r="G120" s="8"/>
      <c r="H120" s="8"/>
      <c r="I120" s="8"/>
      <c r="J120" s="8"/>
      <c r="K120" s="15"/>
      <c r="L120" s="33"/>
      <c r="M120" s="8"/>
      <c r="N120" s="15"/>
      <c r="O120" s="8"/>
      <c r="P120" s="8"/>
      <c r="Q120" s="8"/>
      <c r="R120" s="14"/>
      <c r="S120" s="7"/>
      <c r="T120" s="7"/>
      <c r="U120" s="34"/>
      <c r="V120" s="7"/>
      <c r="W120" s="7"/>
      <c r="X120" s="7"/>
      <c r="Y120" s="7"/>
      <c r="Z120" s="7"/>
      <c r="AA120" s="7"/>
    </row>
    <row r="121" spans="1:27" x14ac:dyDescent="0.25">
      <c r="A121" s="82"/>
      <c r="B121" s="31"/>
      <c r="C121" s="8"/>
      <c r="D121" s="8"/>
      <c r="E121" s="8"/>
      <c r="F121" s="8"/>
      <c r="G121" s="8"/>
      <c r="H121" s="8"/>
      <c r="I121" s="8"/>
      <c r="J121" s="8"/>
      <c r="K121" s="15"/>
      <c r="L121" s="33"/>
      <c r="M121" s="8"/>
      <c r="N121" s="15"/>
      <c r="O121" s="8"/>
      <c r="P121" s="8"/>
      <c r="Q121" s="8"/>
      <c r="R121" s="14"/>
      <c r="S121" s="7"/>
      <c r="T121" s="7"/>
      <c r="U121" s="34"/>
      <c r="V121" s="7"/>
      <c r="W121" s="7"/>
      <c r="X121" s="7"/>
      <c r="Y121" s="7"/>
      <c r="Z121" s="7"/>
      <c r="AA121" s="7"/>
    </row>
    <row r="122" spans="1:27" x14ac:dyDescent="0.25">
      <c r="A122" s="82"/>
      <c r="B122" s="7"/>
      <c r="C122" s="8"/>
      <c r="D122" s="8"/>
      <c r="E122" s="8"/>
      <c r="F122" s="8"/>
      <c r="G122" s="8"/>
      <c r="H122" s="8"/>
      <c r="I122" s="8"/>
      <c r="J122" s="8"/>
      <c r="K122" s="15"/>
      <c r="L122" s="33"/>
      <c r="M122" s="8"/>
      <c r="N122" s="15"/>
      <c r="O122" s="8"/>
      <c r="P122" s="8"/>
      <c r="Q122" s="8"/>
      <c r="R122" s="14"/>
      <c r="S122" s="7"/>
      <c r="T122" s="7"/>
      <c r="U122" s="34"/>
      <c r="V122" s="7"/>
      <c r="W122" s="7"/>
      <c r="X122" s="7"/>
      <c r="Y122" s="7"/>
      <c r="Z122" s="7"/>
      <c r="AA122" s="7"/>
    </row>
    <row r="123" spans="1:27" x14ac:dyDescent="0.25">
      <c r="A123" s="82"/>
      <c r="B123" s="31"/>
      <c r="C123" s="8"/>
      <c r="D123" s="8"/>
      <c r="E123" s="8"/>
      <c r="F123" s="8"/>
      <c r="G123" s="8"/>
      <c r="H123" s="8"/>
      <c r="I123" s="8"/>
      <c r="J123" s="36"/>
      <c r="K123" s="36"/>
      <c r="L123" s="33"/>
      <c r="M123" s="8"/>
      <c r="N123" s="15"/>
      <c r="O123" s="8"/>
      <c r="P123" s="8"/>
      <c r="Q123" s="8"/>
      <c r="R123" s="14"/>
      <c r="S123" s="7"/>
      <c r="T123" s="7"/>
      <c r="U123" s="34"/>
      <c r="V123" s="7"/>
      <c r="W123" s="7"/>
      <c r="X123" s="7"/>
      <c r="Y123" s="7"/>
      <c r="Z123" s="7"/>
      <c r="AA123" s="7"/>
    </row>
    <row r="124" spans="1:27" x14ac:dyDescent="0.25">
      <c r="A124" s="82"/>
      <c r="B124" s="31"/>
      <c r="C124" s="8"/>
      <c r="D124" s="8"/>
      <c r="E124" s="8"/>
      <c r="F124" s="8"/>
      <c r="G124" s="8"/>
      <c r="H124" s="8"/>
      <c r="I124" s="8"/>
      <c r="J124" s="8"/>
      <c r="K124" s="15"/>
      <c r="L124" s="33"/>
      <c r="M124" s="8"/>
      <c r="N124" s="15"/>
      <c r="O124" s="8"/>
      <c r="P124" s="8"/>
      <c r="Q124" s="8"/>
      <c r="R124" s="14"/>
      <c r="S124" s="7"/>
      <c r="T124" s="7"/>
      <c r="U124" s="34"/>
      <c r="V124" s="7"/>
      <c r="W124" s="7"/>
      <c r="X124" s="7"/>
      <c r="Y124" s="7"/>
      <c r="Z124" s="7"/>
      <c r="AA124" s="7"/>
    </row>
    <row r="125" spans="1:27" x14ac:dyDescent="0.25">
      <c r="A125" s="82"/>
      <c r="B125" s="31"/>
      <c r="C125" s="8"/>
      <c r="D125" s="8"/>
      <c r="E125" s="8"/>
      <c r="F125" s="8"/>
      <c r="G125" s="8"/>
      <c r="H125" s="8"/>
      <c r="I125" s="8"/>
      <c r="J125" s="8"/>
      <c r="K125" s="15"/>
      <c r="L125" s="33"/>
      <c r="M125" s="8"/>
      <c r="N125" s="15"/>
      <c r="O125" s="8"/>
      <c r="P125" s="8"/>
      <c r="Q125" s="8"/>
      <c r="R125" s="14"/>
      <c r="S125" s="7"/>
      <c r="T125" s="7"/>
      <c r="U125" s="34"/>
      <c r="V125" s="7"/>
      <c r="W125" s="7"/>
      <c r="X125" s="7"/>
      <c r="Y125" s="7"/>
      <c r="Z125" s="7"/>
      <c r="AA125" s="7"/>
    </row>
    <row r="126" spans="1:27" x14ac:dyDescent="0.25">
      <c r="A126" s="82"/>
      <c r="B126" s="7"/>
      <c r="C126" s="8"/>
      <c r="D126" s="8"/>
      <c r="E126" s="8"/>
      <c r="F126" s="8"/>
      <c r="G126" s="8"/>
      <c r="H126" s="8"/>
      <c r="I126" s="8"/>
      <c r="J126" s="8"/>
      <c r="K126" s="15"/>
      <c r="L126" s="33"/>
      <c r="M126" s="8"/>
      <c r="N126" s="15"/>
      <c r="O126" s="8"/>
      <c r="P126" s="8"/>
      <c r="Q126" s="8"/>
      <c r="R126" s="14"/>
      <c r="S126" s="7"/>
      <c r="T126" s="7"/>
      <c r="U126" s="34"/>
      <c r="V126" s="7"/>
      <c r="W126" s="7"/>
      <c r="X126" s="7"/>
      <c r="Y126" s="7"/>
      <c r="Z126" s="7"/>
      <c r="AA126" s="7"/>
    </row>
    <row r="127" spans="1:27" x14ac:dyDescent="0.25">
      <c r="A127" s="82"/>
      <c r="B127" s="31"/>
      <c r="C127" s="8"/>
      <c r="D127" s="8"/>
      <c r="E127" s="8"/>
      <c r="F127" s="8"/>
      <c r="G127" s="8"/>
      <c r="H127" s="8"/>
      <c r="I127" s="8"/>
      <c r="J127" s="8"/>
      <c r="K127" s="15"/>
      <c r="L127" s="33"/>
      <c r="M127" s="8"/>
      <c r="N127" s="15"/>
      <c r="O127" s="8"/>
      <c r="P127" s="8"/>
      <c r="Q127" s="8"/>
      <c r="R127" s="14"/>
      <c r="S127" s="7"/>
      <c r="T127" s="7"/>
      <c r="U127" s="34"/>
      <c r="V127" s="7"/>
      <c r="W127" s="7"/>
      <c r="X127" s="7"/>
      <c r="Y127" s="7"/>
      <c r="Z127" s="7"/>
      <c r="AA127" s="7"/>
    </row>
    <row r="128" spans="1:27" x14ac:dyDescent="0.25">
      <c r="A128" s="82"/>
      <c r="B128" s="31"/>
      <c r="C128" s="8"/>
      <c r="D128" s="8"/>
      <c r="E128" s="8"/>
      <c r="F128" s="8"/>
      <c r="G128" s="8"/>
      <c r="H128" s="8"/>
      <c r="I128" s="8"/>
      <c r="J128" s="8"/>
      <c r="K128" s="15"/>
      <c r="L128" s="33"/>
      <c r="M128" s="8"/>
      <c r="N128" s="15"/>
      <c r="O128" s="8"/>
      <c r="P128" s="8"/>
      <c r="Q128" s="8"/>
      <c r="R128" s="14"/>
      <c r="S128" s="7"/>
      <c r="T128" s="7"/>
      <c r="U128" s="34"/>
      <c r="V128" s="7"/>
      <c r="W128" s="7"/>
      <c r="X128" s="7"/>
      <c r="Y128" s="7"/>
      <c r="Z128" s="7"/>
      <c r="AA128" s="7"/>
    </row>
    <row r="129" spans="1:27" x14ac:dyDescent="0.25">
      <c r="A129" s="82"/>
      <c r="B129" s="31"/>
      <c r="C129" s="8"/>
      <c r="D129" s="8"/>
      <c r="E129" s="8"/>
      <c r="F129" s="8"/>
      <c r="G129" s="8"/>
      <c r="H129" s="8"/>
      <c r="I129" s="8"/>
      <c r="J129" s="8"/>
      <c r="K129" s="15"/>
      <c r="L129" s="33"/>
      <c r="M129" s="8"/>
      <c r="N129" s="15"/>
      <c r="O129" s="8"/>
      <c r="P129" s="8"/>
      <c r="Q129" s="8"/>
      <c r="R129" s="14"/>
      <c r="S129" s="7"/>
      <c r="T129" s="7"/>
      <c r="U129" s="34"/>
      <c r="V129" s="7"/>
      <c r="W129" s="7"/>
      <c r="X129" s="7"/>
      <c r="Y129" s="7"/>
      <c r="Z129" s="7"/>
      <c r="AA129" s="7"/>
    </row>
    <row r="130" spans="1:27" x14ac:dyDescent="0.25">
      <c r="A130" s="52"/>
      <c r="B130" s="8"/>
      <c r="C130" s="8"/>
      <c r="D130" s="8"/>
      <c r="E130" s="8"/>
      <c r="F130" s="8"/>
      <c r="G130" s="8"/>
      <c r="H130" s="8"/>
      <c r="I130" s="8"/>
      <c r="J130" s="33"/>
      <c r="K130" s="8"/>
      <c r="L130" s="33"/>
      <c r="M130" s="8"/>
      <c r="N130" s="8"/>
      <c r="O130" s="8"/>
      <c r="P130" s="8"/>
      <c r="Q130" s="8"/>
      <c r="R130" s="33"/>
      <c r="S130" s="7"/>
      <c r="T130" s="8"/>
      <c r="U130" s="35"/>
      <c r="V130" s="7"/>
      <c r="W130" s="7"/>
      <c r="X130" s="7"/>
      <c r="Y130" s="7"/>
      <c r="Z130" s="7"/>
      <c r="AA130" s="7"/>
    </row>
    <row r="131" spans="1:27" x14ac:dyDescent="0.25">
      <c r="A131" s="52"/>
      <c r="B131" s="15"/>
      <c r="C131" s="8"/>
      <c r="D131" s="8"/>
      <c r="E131" s="8"/>
      <c r="F131" s="8"/>
      <c r="G131" s="8"/>
      <c r="H131" s="8"/>
      <c r="I131" s="8"/>
      <c r="J131" s="33"/>
      <c r="K131" s="8"/>
      <c r="L131" s="33"/>
      <c r="M131" s="8"/>
      <c r="N131" s="8"/>
      <c r="O131" s="8"/>
      <c r="P131" s="22"/>
      <c r="Q131" s="8"/>
      <c r="R131" s="33"/>
      <c r="S131" s="7"/>
      <c r="T131" s="8"/>
      <c r="U131" s="35"/>
      <c r="V131" s="7"/>
      <c r="W131" s="7"/>
      <c r="X131" s="7"/>
      <c r="Y131" s="7"/>
      <c r="Z131" s="7"/>
      <c r="AA131" s="7"/>
    </row>
    <row r="132" spans="1:27" x14ac:dyDescent="0.25">
      <c r="A132" s="52"/>
      <c r="B132" s="44"/>
      <c r="C132" s="8"/>
      <c r="D132" s="8"/>
      <c r="E132" s="8"/>
      <c r="F132" s="8"/>
      <c r="G132" s="8"/>
      <c r="H132" s="8"/>
      <c r="I132" s="8"/>
      <c r="J132" s="33"/>
      <c r="K132" s="8"/>
      <c r="L132" s="33"/>
      <c r="M132" s="8"/>
      <c r="N132" s="8"/>
      <c r="O132" s="8"/>
      <c r="P132" s="8"/>
      <c r="Q132" s="8"/>
      <c r="R132" s="33"/>
      <c r="S132" s="7"/>
      <c r="T132" s="8"/>
      <c r="U132" s="35"/>
      <c r="V132" s="7"/>
      <c r="W132" s="7"/>
      <c r="X132" s="7"/>
      <c r="Y132" s="7"/>
      <c r="Z132" s="7"/>
      <c r="AA132" s="7"/>
    </row>
    <row r="133" spans="1:27" x14ac:dyDescent="0.25">
      <c r="A133" s="52"/>
      <c r="B133" s="8"/>
      <c r="C133" s="8"/>
      <c r="D133" s="8"/>
      <c r="E133" s="8"/>
      <c r="F133" s="8"/>
      <c r="G133" s="8"/>
      <c r="H133" s="8"/>
      <c r="I133" s="8"/>
      <c r="J133" s="33"/>
      <c r="K133" s="8"/>
      <c r="L133" s="33"/>
      <c r="M133" s="8"/>
      <c r="N133" s="8"/>
      <c r="O133" s="8"/>
      <c r="P133" s="8"/>
      <c r="Q133" s="8"/>
      <c r="R133" s="33"/>
      <c r="S133" s="7"/>
      <c r="T133" s="8"/>
      <c r="U133" s="35"/>
      <c r="V133" s="7"/>
      <c r="W133" s="7"/>
      <c r="X133" s="7"/>
      <c r="Y133" s="7"/>
      <c r="Z133" s="7"/>
      <c r="AA133" s="7"/>
    </row>
    <row r="134" spans="1:27" x14ac:dyDescent="0.25">
      <c r="A134" s="52"/>
      <c r="B134" s="15"/>
      <c r="C134" s="8"/>
      <c r="D134" s="8"/>
      <c r="E134" s="8"/>
      <c r="F134" s="8"/>
      <c r="G134" s="8"/>
      <c r="H134" s="8"/>
      <c r="I134" s="8"/>
      <c r="J134" s="33"/>
      <c r="K134" s="8"/>
      <c r="L134" s="33"/>
      <c r="M134" s="8"/>
      <c r="N134" s="8"/>
      <c r="O134" s="8"/>
      <c r="P134" s="8"/>
      <c r="Q134" s="8"/>
      <c r="R134" s="33"/>
      <c r="S134" s="7"/>
      <c r="T134" s="8"/>
      <c r="U134" s="35"/>
      <c r="V134" s="7"/>
      <c r="W134" s="7"/>
      <c r="X134" s="7"/>
      <c r="Y134" s="7"/>
      <c r="Z134" s="7"/>
      <c r="AA134" s="7"/>
    </row>
    <row r="135" spans="1:27" x14ac:dyDescent="0.25">
      <c r="A135" s="52"/>
      <c r="B135" s="15"/>
      <c r="C135" s="8"/>
      <c r="D135" s="8"/>
      <c r="E135" s="8"/>
      <c r="F135" s="8"/>
      <c r="G135" s="8"/>
      <c r="H135" s="8"/>
      <c r="I135" s="8"/>
      <c r="J135" s="33"/>
      <c r="K135" s="8"/>
      <c r="L135" s="33"/>
      <c r="M135" s="8"/>
      <c r="N135" s="8"/>
      <c r="O135" s="8"/>
      <c r="P135" s="8"/>
      <c r="Q135" s="8"/>
      <c r="R135" s="33"/>
      <c r="S135" s="7"/>
      <c r="T135" s="8"/>
      <c r="U135" s="35"/>
      <c r="V135" s="7"/>
      <c r="W135" s="7"/>
      <c r="X135" s="7"/>
      <c r="Y135" s="7"/>
      <c r="Z135" s="7"/>
      <c r="AA135" s="7"/>
    </row>
    <row r="136" spans="1:27" x14ac:dyDescent="0.25">
      <c r="A136" s="52"/>
      <c r="B136" s="45"/>
      <c r="C136" s="8"/>
      <c r="D136" s="8"/>
      <c r="E136" s="8"/>
      <c r="F136" s="8"/>
      <c r="G136" s="8"/>
      <c r="H136" s="8"/>
      <c r="I136" s="8"/>
      <c r="J136" s="33"/>
      <c r="K136" s="8"/>
      <c r="L136" s="33"/>
      <c r="M136" s="8"/>
      <c r="N136" s="8"/>
      <c r="O136" s="8"/>
      <c r="P136" s="8"/>
      <c r="Q136" s="8"/>
      <c r="R136" s="33"/>
      <c r="S136" s="7"/>
      <c r="T136" s="8"/>
      <c r="U136" s="35"/>
      <c r="V136" s="7"/>
      <c r="W136" s="7"/>
      <c r="X136" s="7"/>
      <c r="Y136" s="7"/>
      <c r="Z136" s="7"/>
      <c r="AA136" s="7"/>
    </row>
    <row r="137" spans="1:27" x14ac:dyDescent="0.25">
      <c r="A137" s="52"/>
      <c r="B137" s="45"/>
      <c r="C137" s="8"/>
      <c r="D137" s="8"/>
      <c r="E137" s="8"/>
      <c r="F137" s="8"/>
      <c r="G137" s="8"/>
      <c r="H137" s="8"/>
      <c r="I137" s="8"/>
      <c r="J137" s="33"/>
      <c r="K137" s="8"/>
      <c r="L137" s="33"/>
      <c r="M137" s="8"/>
      <c r="N137" s="8"/>
      <c r="O137" s="8"/>
      <c r="P137" s="8"/>
      <c r="Q137" s="8"/>
      <c r="R137" s="33"/>
      <c r="S137" s="7"/>
      <c r="T137" s="8"/>
      <c r="U137" s="35"/>
      <c r="V137" s="7"/>
      <c r="W137" s="7"/>
      <c r="X137" s="7"/>
      <c r="Y137" s="7"/>
      <c r="Z137" s="7"/>
      <c r="AA137" s="7"/>
    </row>
    <row r="138" spans="1:27" x14ac:dyDescent="0.25">
      <c r="A138" s="52"/>
      <c r="B138" s="44"/>
      <c r="C138" s="8"/>
      <c r="D138" s="8"/>
      <c r="E138" s="8"/>
      <c r="F138" s="8"/>
      <c r="G138" s="8"/>
      <c r="H138" s="8"/>
      <c r="I138" s="8"/>
      <c r="J138" s="33"/>
      <c r="K138" s="8"/>
      <c r="L138" s="33"/>
      <c r="M138" s="8"/>
      <c r="N138" s="8"/>
      <c r="O138" s="8"/>
      <c r="P138" s="8"/>
      <c r="Q138" s="8"/>
      <c r="R138" s="33"/>
      <c r="S138" s="7"/>
      <c r="T138" s="8"/>
      <c r="U138" s="35"/>
      <c r="V138" s="7"/>
      <c r="W138" s="7"/>
      <c r="X138" s="7"/>
      <c r="Y138" s="7"/>
      <c r="Z138" s="7"/>
      <c r="AA138" s="7"/>
    </row>
    <row r="139" spans="1:27" x14ac:dyDescent="0.25">
      <c r="A139" s="52"/>
      <c r="B139" s="15"/>
      <c r="C139" s="8"/>
      <c r="D139" s="8"/>
      <c r="E139" s="8"/>
      <c r="F139" s="8"/>
      <c r="G139" s="8"/>
      <c r="H139" s="8"/>
      <c r="I139" s="8"/>
      <c r="J139" s="33"/>
      <c r="K139" s="8"/>
      <c r="L139" s="33"/>
      <c r="M139" s="8"/>
      <c r="N139" s="8"/>
      <c r="O139" s="8"/>
      <c r="P139" s="8"/>
      <c r="Q139" s="8"/>
      <c r="R139" s="33"/>
      <c r="S139" s="7"/>
      <c r="T139" s="8"/>
      <c r="U139" s="35"/>
      <c r="V139" s="7"/>
      <c r="W139" s="7"/>
      <c r="X139" s="7"/>
      <c r="Y139" s="7"/>
      <c r="Z139" s="7"/>
      <c r="AA139" s="7"/>
    </row>
    <row r="140" spans="1:27" x14ac:dyDescent="0.25">
      <c r="A140" s="52"/>
      <c r="B140" s="45"/>
      <c r="C140" s="8"/>
      <c r="D140" s="8"/>
      <c r="E140" s="8"/>
      <c r="F140" s="8"/>
      <c r="G140" s="8"/>
      <c r="H140" s="8"/>
      <c r="I140" s="8"/>
      <c r="J140" s="33"/>
      <c r="K140" s="8"/>
      <c r="L140" s="33"/>
      <c r="M140" s="8"/>
      <c r="N140" s="8"/>
      <c r="O140" s="8"/>
      <c r="P140" s="8"/>
      <c r="Q140" s="8"/>
      <c r="R140" s="33"/>
      <c r="S140" s="7"/>
      <c r="T140" s="8"/>
      <c r="U140" s="35"/>
      <c r="V140" s="7"/>
      <c r="W140" s="7"/>
      <c r="X140" s="7"/>
      <c r="Y140" s="7"/>
      <c r="Z140" s="7"/>
      <c r="AA140" s="7"/>
    </row>
    <row r="141" spans="1:27" x14ac:dyDescent="0.25">
      <c r="A141" s="52"/>
      <c r="B141" s="36"/>
      <c r="C141" s="8"/>
      <c r="D141" s="8"/>
      <c r="E141" s="8"/>
      <c r="F141" s="8"/>
      <c r="G141" s="8"/>
      <c r="H141" s="8"/>
      <c r="I141" s="8"/>
      <c r="J141" s="33"/>
      <c r="K141" s="8"/>
      <c r="L141" s="33"/>
      <c r="M141" s="8"/>
      <c r="N141" s="8"/>
      <c r="O141" s="8"/>
      <c r="P141" s="8"/>
      <c r="Q141" s="8"/>
      <c r="R141" s="33"/>
      <c r="S141" s="7"/>
      <c r="T141" s="8"/>
      <c r="U141" s="35"/>
      <c r="V141" s="7"/>
      <c r="W141" s="7"/>
      <c r="X141" s="7"/>
      <c r="Y141" s="7"/>
      <c r="Z141" s="7"/>
      <c r="AA141" s="7"/>
    </row>
    <row r="142" spans="1:27" x14ac:dyDescent="0.25">
      <c r="A142" s="52"/>
      <c r="B142" s="15"/>
      <c r="C142" s="8"/>
      <c r="D142" s="8"/>
      <c r="E142" s="8"/>
      <c r="F142" s="8"/>
      <c r="G142" s="8"/>
      <c r="H142" s="8"/>
      <c r="I142" s="8"/>
      <c r="J142" s="33"/>
      <c r="K142" s="8"/>
      <c r="L142" s="33"/>
      <c r="M142" s="8"/>
      <c r="N142" s="8"/>
      <c r="O142" s="8"/>
      <c r="P142" s="8"/>
      <c r="Q142" s="8"/>
      <c r="R142" s="33"/>
      <c r="S142" s="7"/>
      <c r="T142" s="8"/>
      <c r="U142" s="35"/>
      <c r="V142" s="7"/>
      <c r="W142" s="7"/>
      <c r="X142" s="7"/>
      <c r="Y142" s="7"/>
      <c r="Z142" s="7"/>
      <c r="AA142" s="7"/>
    </row>
    <row r="143" spans="1:27" x14ac:dyDescent="0.25">
      <c r="A143" s="52"/>
      <c r="B143" s="15"/>
      <c r="C143" s="8"/>
      <c r="D143" s="8"/>
      <c r="E143" s="8"/>
      <c r="F143" s="8"/>
      <c r="G143" s="8"/>
      <c r="H143" s="8"/>
      <c r="I143" s="8"/>
      <c r="J143" s="33"/>
      <c r="K143" s="8"/>
      <c r="L143" s="33"/>
      <c r="M143" s="8"/>
      <c r="N143" s="8"/>
      <c r="O143" s="8"/>
      <c r="P143" s="8"/>
      <c r="Q143" s="8"/>
      <c r="R143" s="33"/>
      <c r="S143" s="7"/>
      <c r="T143" s="8"/>
      <c r="U143" s="35"/>
      <c r="V143" s="7"/>
      <c r="W143" s="7"/>
      <c r="X143" s="7"/>
      <c r="Y143" s="7"/>
      <c r="Z143" s="7"/>
      <c r="AA143" s="7"/>
    </row>
    <row r="144" spans="1:27" x14ac:dyDescent="0.25">
      <c r="A144" s="52"/>
      <c r="B144" s="8"/>
      <c r="C144" s="8"/>
      <c r="D144" s="8"/>
      <c r="E144" s="8"/>
      <c r="F144" s="8"/>
      <c r="G144" s="8"/>
      <c r="H144" s="8"/>
      <c r="I144" s="8"/>
      <c r="J144" s="33"/>
      <c r="K144" s="8"/>
      <c r="L144" s="33"/>
      <c r="M144" s="8"/>
      <c r="N144" s="8"/>
      <c r="O144" s="8"/>
      <c r="P144" s="8"/>
      <c r="Q144" s="8"/>
      <c r="R144" s="33"/>
      <c r="S144" s="7"/>
      <c r="T144" s="8"/>
      <c r="U144" s="35"/>
      <c r="V144" s="7"/>
      <c r="W144" s="7"/>
      <c r="X144" s="7"/>
      <c r="Y144" s="7"/>
      <c r="Z144" s="7"/>
      <c r="AA144" s="7"/>
    </row>
    <row r="145" spans="1:27" x14ac:dyDescent="0.25">
      <c r="A145" s="52"/>
      <c r="B145" s="15"/>
      <c r="C145" s="8"/>
      <c r="D145" s="8"/>
      <c r="E145" s="8"/>
      <c r="F145" s="8"/>
      <c r="G145" s="8"/>
      <c r="H145" s="8"/>
      <c r="I145" s="8"/>
      <c r="J145" s="33"/>
      <c r="K145" s="8"/>
      <c r="L145" s="33"/>
      <c r="M145" s="8"/>
      <c r="N145" s="8"/>
      <c r="O145" s="8"/>
      <c r="P145" s="8"/>
      <c r="Q145" s="8"/>
      <c r="R145" s="33"/>
      <c r="S145" s="7"/>
      <c r="T145" s="8"/>
      <c r="U145" s="35"/>
      <c r="V145" s="7"/>
      <c r="W145" s="7"/>
      <c r="X145" s="7"/>
      <c r="Y145" s="7"/>
      <c r="Z145" s="7"/>
      <c r="AA145" s="7"/>
    </row>
    <row r="146" spans="1:27" x14ac:dyDescent="0.25">
      <c r="A146" s="52"/>
      <c r="B146" s="15"/>
      <c r="C146" s="8"/>
      <c r="D146" s="8"/>
      <c r="E146" s="8"/>
      <c r="F146" s="8"/>
      <c r="G146" s="8"/>
      <c r="H146" s="8"/>
      <c r="I146" s="8"/>
      <c r="J146" s="33"/>
      <c r="K146" s="8"/>
      <c r="L146" s="33"/>
      <c r="M146" s="8"/>
      <c r="N146" s="8"/>
      <c r="O146" s="8"/>
      <c r="P146" s="8"/>
      <c r="Q146" s="8"/>
      <c r="R146" s="33"/>
      <c r="S146" s="7"/>
      <c r="T146" s="8"/>
      <c r="U146" s="35"/>
      <c r="V146" s="7"/>
      <c r="W146" s="7"/>
      <c r="X146" s="7"/>
      <c r="Y146" s="7"/>
      <c r="Z146" s="7"/>
      <c r="AA146" s="7"/>
    </row>
    <row r="147" spans="1:27" x14ac:dyDescent="0.25">
      <c r="A147" s="52"/>
      <c r="B147" s="15"/>
      <c r="C147" s="8"/>
      <c r="D147" s="8"/>
      <c r="E147" s="8"/>
      <c r="F147" s="8"/>
      <c r="G147" s="8"/>
      <c r="H147" s="8"/>
      <c r="I147" s="8"/>
      <c r="J147" s="33"/>
      <c r="K147" s="8"/>
      <c r="L147" s="33"/>
      <c r="M147" s="8"/>
      <c r="N147" s="8"/>
      <c r="O147" s="8"/>
      <c r="P147" s="8"/>
      <c r="Q147" s="8"/>
      <c r="R147" s="33"/>
      <c r="S147" s="7"/>
      <c r="T147" s="8"/>
      <c r="U147" s="35"/>
      <c r="V147" s="7"/>
      <c r="W147" s="7"/>
      <c r="X147" s="7"/>
      <c r="Y147" s="7"/>
      <c r="Z147" s="7"/>
      <c r="AA147" s="7"/>
    </row>
    <row r="148" spans="1:27" x14ac:dyDescent="0.25">
      <c r="A148" s="52"/>
      <c r="B148" s="15"/>
      <c r="C148" s="8"/>
      <c r="D148" s="8"/>
      <c r="E148" s="8"/>
      <c r="F148" s="8"/>
      <c r="G148" s="8"/>
      <c r="H148" s="8"/>
      <c r="I148" s="8"/>
      <c r="J148" s="33"/>
      <c r="K148" s="8"/>
      <c r="L148" s="33"/>
      <c r="M148" s="8"/>
      <c r="N148" s="8"/>
      <c r="O148" s="8"/>
      <c r="P148" s="8"/>
      <c r="Q148" s="8"/>
      <c r="R148" s="33"/>
      <c r="S148" s="7"/>
      <c r="T148" s="8"/>
      <c r="U148" s="35"/>
      <c r="V148" s="7"/>
      <c r="W148" s="7"/>
      <c r="X148" s="7"/>
      <c r="Y148" s="7"/>
      <c r="Z148" s="7"/>
      <c r="AA148" s="7"/>
    </row>
    <row r="149" spans="1:27" x14ac:dyDescent="0.25">
      <c r="A149" s="52"/>
      <c r="B149" s="8"/>
      <c r="C149" s="8"/>
      <c r="D149" s="8"/>
      <c r="E149" s="8"/>
      <c r="F149" s="8"/>
      <c r="G149" s="8"/>
      <c r="H149" s="8"/>
      <c r="I149" s="8"/>
      <c r="J149" s="33"/>
      <c r="K149" s="8"/>
      <c r="L149" s="33"/>
      <c r="M149" s="8"/>
      <c r="N149" s="8"/>
      <c r="O149" s="8"/>
      <c r="P149" s="8"/>
      <c r="Q149" s="8"/>
      <c r="R149" s="33"/>
      <c r="S149" s="7"/>
      <c r="T149" s="8"/>
      <c r="U149" s="35"/>
      <c r="V149" s="7"/>
      <c r="W149" s="7"/>
      <c r="X149" s="7"/>
      <c r="Y149" s="7"/>
      <c r="Z149" s="7"/>
      <c r="AA149" s="7"/>
    </row>
    <row r="150" spans="1:27" x14ac:dyDescent="0.25">
      <c r="A150" s="52"/>
      <c r="B150" s="8"/>
      <c r="C150" s="8"/>
      <c r="D150" s="8"/>
      <c r="E150" s="8"/>
      <c r="F150" s="8"/>
      <c r="G150" s="8"/>
      <c r="H150" s="8"/>
      <c r="I150" s="8"/>
      <c r="J150" s="33"/>
      <c r="K150" s="8"/>
      <c r="L150" s="33"/>
      <c r="M150" s="8"/>
      <c r="N150" s="8"/>
      <c r="O150" s="8"/>
      <c r="P150" s="8"/>
      <c r="Q150" s="8"/>
      <c r="R150" s="33"/>
      <c r="S150" s="7"/>
      <c r="T150" s="8"/>
      <c r="U150" s="35"/>
      <c r="V150" s="7"/>
      <c r="W150" s="7"/>
      <c r="X150" s="7"/>
      <c r="Y150" s="7"/>
      <c r="Z150" s="7"/>
      <c r="AA150" s="7"/>
    </row>
    <row r="151" spans="1:27" x14ac:dyDescent="0.25">
      <c r="A151" s="51"/>
      <c r="B151" s="7"/>
      <c r="C151" s="8"/>
      <c r="D151" s="8"/>
      <c r="E151" s="8"/>
      <c r="F151" s="8"/>
      <c r="G151" s="8"/>
      <c r="H151" s="8"/>
      <c r="I151" s="8"/>
      <c r="J151" s="33"/>
      <c r="K151" s="8"/>
      <c r="L151" s="33"/>
      <c r="M151" s="8"/>
      <c r="N151" s="8"/>
      <c r="O151" s="8"/>
      <c r="P151" s="8"/>
      <c r="Q151" s="8"/>
      <c r="R151" s="14"/>
      <c r="S151" s="7"/>
      <c r="T151" s="7"/>
      <c r="U151" s="34"/>
      <c r="V151" s="7"/>
      <c r="W151" s="7"/>
      <c r="X151" s="7"/>
      <c r="Y151" s="7"/>
      <c r="Z151" s="7"/>
      <c r="AA151" s="7"/>
    </row>
    <row r="152" spans="1:27" x14ac:dyDescent="0.25">
      <c r="A152" s="51"/>
      <c r="B152" s="7"/>
      <c r="C152" s="8"/>
      <c r="D152" s="8"/>
      <c r="E152" s="8"/>
      <c r="F152" s="8"/>
      <c r="G152" s="8"/>
      <c r="H152" s="8"/>
      <c r="I152" s="8"/>
      <c r="J152" s="33"/>
      <c r="K152" s="8"/>
      <c r="L152" s="33"/>
      <c r="M152" s="8"/>
      <c r="N152" s="8"/>
      <c r="O152" s="8"/>
      <c r="P152" s="8"/>
      <c r="Q152" s="8"/>
      <c r="R152" s="14"/>
      <c r="S152" s="7"/>
      <c r="T152" s="7"/>
      <c r="U152" s="34"/>
      <c r="V152" s="7"/>
      <c r="W152" s="7"/>
      <c r="X152" s="7"/>
      <c r="Y152" s="7"/>
      <c r="Z152" s="7"/>
      <c r="AA152" s="7"/>
    </row>
    <row r="153" spans="1:27" x14ac:dyDescent="0.25">
      <c r="A153" s="51"/>
      <c r="B153" s="7"/>
      <c r="C153" s="8"/>
      <c r="D153" s="8"/>
      <c r="E153" s="8"/>
      <c r="F153" s="8"/>
      <c r="G153" s="8"/>
      <c r="H153" s="8"/>
      <c r="I153" s="8"/>
      <c r="J153" s="33"/>
      <c r="K153" s="8"/>
      <c r="L153" s="33"/>
      <c r="M153" s="8"/>
      <c r="N153" s="8"/>
      <c r="O153" s="8"/>
      <c r="P153" s="8"/>
      <c r="Q153" s="8"/>
      <c r="R153" s="14"/>
      <c r="S153" s="7"/>
      <c r="T153" s="7"/>
      <c r="U153" s="34"/>
      <c r="V153" s="7"/>
      <c r="W153" s="7"/>
      <c r="X153" s="7"/>
      <c r="Y153" s="7"/>
      <c r="Z153" s="7"/>
      <c r="AA153" s="7"/>
    </row>
    <row r="154" spans="1:27" x14ac:dyDescent="0.25">
      <c r="A154" s="51"/>
      <c r="B154" s="7"/>
      <c r="C154" s="8"/>
      <c r="D154" s="8"/>
      <c r="E154" s="8"/>
      <c r="F154" s="8"/>
      <c r="G154" s="8"/>
      <c r="H154" s="8"/>
      <c r="I154" s="8"/>
      <c r="J154" s="33"/>
      <c r="K154" s="8"/>
      <c r="L154" s="33"/>
      <c r="M154" s="8"/>
      <c r="N154" s="8"/>
      <c r="O154" s="8"/>
      <c r="P154" s="8"/>
      <c r="Q154" s="8"/>
      <c r="R154" s="14"/>
      <c r="S154" s="7"/>
      <c r="T154" s="7"/>
      <c r="U154" s="34"/>
      <c r="V154" s="7"/>
      <c r="W154" s="7"/>
      <c r="X154" s="7"/>
      <c r="Y154" s="7"/>
      <c r="Z154" s="7"/>
      <c r="AA154" s="7"/>
    </row>
    <row r="155" spans="1:27" x14ac:dyDescent="0.25">
      <c r="A155" s="51"/>
      <c r="B155" s="7"/>
      <c r="C155" s="8"/>
      <c r="D155" s="8"/>
      <c r="E155" s="8"/>
      <c r="F155" s="8"/>
      <c r="G155" s="8"/>
      <c r="H155" s="8"/>
      <c r="I155" s="8"/>
      <c r="J155" s="33"/>
      <c r="K155" s="8"/>
      <c r="L155" s="33"/>
      <c r="M155" s="8"/>
      <c r="N155" s="8"/>
      <c r="O155" s="8"/>
      <c r="P155" s="8"/>
      <c r="Q155" s="8"/>
      <c r="R155" s="14"/>
      <c r="S155" s="7"/>
      <c r="T155" s="7"/>
      <c r="U155" s="34"/>
      <c r="V155" s="7"/>
      <c r="W155" s="7"/>
      <c r="X155" s="7"/>
      <c r="Y155" s="7"/>
      <c r="Z155" s="7"/>
      <c r="AA155" s="7"/>
    </row>
    <row r="156" spans="1:27" x14ac:dyDescent="0.25">
      <c r="A156" s="51"/>
      <c r="B156" s="7"/>
      <c r="C156" s="8"/>
      <c r="D156" s="8"/>
      <c r="E156" s="8"/>
      <c r="F156" s="8"/>
      <c r="G156" s="8"/>
      <c r="H156" s="8"/>
      <c r="I156" s="8"/>
      <c r="J156" s="33"/>
      <c r="K156" s="8"/>
      <c r="L156" s="33"/>
      <c r="M156" s="8"/>
      <c r="N156" s="8"/>
      <c r="O156" s="8"/>
      <c r="P156" s="8"/>
      <c r="Q156" s="8"/>
      <c r="R156" s="14"/>
      <c r="S156" s="7"/>
      <c r="T156" s="7"/>
      <c r="U156" s="34"/>
      <c r="V156" s="7"/>
      <c r="W156" s="7"/>
      <c r="X156" s="7"/>
      <c r="Y156" s="7"/>
      <c r="Z156" s="7"/>
      <c r="AA156" s="7"/>
    </row>
    <row r="157" spans="1:27" x14ac:dyDescent="0.25">
      <c r="A157" s="51"/>
      <c r="B157" s="7"/>
      <c r="C157" s="8"/>
      <c r="D157" s="8"/>
      <c r="E157" s="8"/>
      <c r="F157" s="8"/>
      <c r="G157" s="8"/>
      <c r="H157" s="8"/>
      <c r="I157" s="8"/>
      <c r="J157" s="33"/>
      <c r="K157" s="8"/>
      <c r="L157" s="33"/>
      <c r="M157" s="8"/>
      <c r="N157" s="8"/>
      <c r="O157" s="8"/>
      <c r="P157" s="8"/>
      <c r="Q157" s="8"/>
      <c r="R157" s="14"/>
      <c r="S157" s="7"/>
      <c r="T157" s="7"/>
      <c r="U157" s="34"/>
      <c r="V157" s="7"/>
      <c r="W157" s="7"/>
      <c r="X157" s="7"/>
      <c r="Y157" s="7"/>
      <c r="Z157" s="7"/>
      <c r="AA157" s="7"/>
    </row>
    <row r="158" spans="1:27" x14ac:dyDescent="0.25">
      <c r="A158" s="51"/>
      <c r="B158" s="7"/>
      <c r="C158" s="8"/>
      <c r="D158" s="8"/>
      <c r="E158" s="8"/>
      <c r="F158" s="8"/>
      <c r="G158" s="8"/>
      <c r="H158" s="8"/>
      <c r="I158" s="8"/>
      <c r="J158" s="33"/>
      <c r="K158" s="8"/>
      <c r="L158" s="33"/>
      <c r="M158" s="8"/>
      <c r="N158" s="8"/>
      <c r="O158" s="8"/>
      <c r="P158" s="8"/>
      <c r="Q158" s="8"/>
      <c r="R158" s="14"/>
      <c r="S158" s="7"/>
      <c r="T158" s="7"/>
      <c r="U158" s="34"/>
      <c r="V158" s="7"/>
      <c r="W158" s="7"/>
      <c r="X158" s="7"/>
      <c r="Y158" s="7"/>
      <c r="Z158" s="7"/>
      <c r="AA158" s="7"/>
    </row>
    <row r="159" spans="1:27" x14ac:dyDescent="0.25">
      <c r="A159" s="51"/>
      <c r="B159" s="7"/>
      <c r="C159" s="8"/>
      <c r="D159" s="8"/>
      <c r="E159" s="8"/>
      <c r="F159" s="8"/>
      <c r="G159" s="8"/>
      <c r="H159" s="8"/>
      <c r="I159" s="8"/>
      <c r="J159" s="33"/>
      <c r="K159" s="8"/>
      <c r="L159" s="33"/>
      <c r="M159" s="8"/>
      <c r="N159" s="8"/>
      <c r="O159" s="8"/>
      <c r="P159" s="8"/>
      <c r="Q159" s="8"/>
      <c r="R159" s="14"/>
      <c r="S159" s="7"/>
      <c r="T159" s="7"/>
      <c r="U159" s="34"/>
      <c r="V159" s="7"/>
      <c r="W159" s="7"/>
      <c r="X159" s="7"/>
      <c r="Y159" s="7"/>
      <c r="Z159" s="7"/>
      <c r="AA159" s="7"/>
    </row>
    <row r="160" spans="1:27" x14ac:dyDescent="0.25">
      <c r="A160" s="51"/>
      <c r="B160" s="7"/>
      <c r="C160" s="8"/>
      <c r="D160" s="8"/>
      <c r="E160" s="8"/>
      <c r="F160" s="8"/>
      <c r="G160" s="8"/>
      <c r="H160" s="8"/>
      <c r="I160" s="8"/>
      <c r="J160" s="33"/>
      <c r="K160" s="8"/>
      <c r="L160" s="33"/>
      <c r="M160" s="8"/>
      <c r="N160" s="8"/>
      <c r="O160" s="8"/>
      <c r="P160" s="8"/>
      <c r="Q160" s="8"/>
      <c r="R160" s="14"/>
      <c r="S160" s="7"/>
      <c r="T160" s="7"/>
      <c r="U160" s="34"/>
      <c r="V160" s="7"/>
      <c r="W160" s="7"/>
      <c r="X160" s="7"/>
      <c r="Y160" s="7"/>
      <c r="Z160" s="7"/>
      <c r="AA160" s="7"/>
    </row>
    <row r="161" spans="1:27" x14ac:dyDescent="0.25">
      <c r="A161" s="51"/>
      <c r="B161" s="7"/>
      <c r="C161" s="8"/>
      <c r="D161" s="8"/>
      <c r="E161" s="8"/>
      <c r="F161" s="8"/>
      <c r="G161" s="8"/>
      <c r="H161" s="8"/>
      <c r="I161" s="8"/>
      <c r="J161" s="33"/>
      <c r="K161" s="8"/>
      <c r="L161" s="33"/>
      <c r="M161" s="8"/>
      <c r="N161" s="8"/>
      <c r="O161" s="8"/>
      <c r="P161" s="8"/>
      <c r="Q161" s="8"/>
      <c r="R161" s="14"/>
      <c r="S161" s="7"/>
      <c r="T161" s="7"/>
      <c r="U161" s="34"/>
      <c r="V161" s="7"/>
      <c r="W161" s="7"/>
      <c r="X161" s="7"/>
      <c r="Y161" s="7"/>
      <c r="Z161" s="7"/>
      <c r="AA161" s="7"/>
    </row>
    <row r="162" spans="1:27" x14ac:dyDescent="0.25">
      <c r="A162" s="51"/>
      <c r="B162" s="7"/>
      <c r="C162" s="8"/>
      <c r="D162" s="8"/>
      <c r="E162" s="8"/>
      <c r="F162" s="8"/>
      <c r="G162" s="8"/>
      <c r="H162" s="8"/>
      <c r="I162" s="8"/>
      <c r="J162" s="33"/>
      <c r="K162" s="8"/>
      <c r="L162" s="33"/>
      <c r="M162" s="8"/>
      <c r="N162" s="8"/>
      <c r="O162" s="8"/>
      <c r="P162" s="8"/>
      <c r="Q162" s="8"/>
      <c r="R162" s="14"/>
      <c r="S162" s="7"/>
      <c r="T162" s="7"/>
      <c r="U162" s="34"/>
      <c r="V162" s="7"/>
      <c r="W162" s="7"/>
      <c r="X162" s="7"/>
      <c r="Y162" s="7"/>
      <c r="Z162" s="7"/>
      <c r="AA162" s="7"/>
    </row>
    <row r="163" spans="1:27" x14ac:dyDescent="0.25">
      <c r="A163" s="51"/>
      <c r="B163" s="7"/>
      <c r="C163" s="8"/>
      <c r="D163" s="8"/>
      <c r="E163" s="8"/>
      <c r="F163" s="8"/>
      <c r="G163" s="8"/>
      <c r="H163" s="8"/>
      <c r="I163" s="8"/>
      <c r="J163" s="33"/>
      <c r="K163" s="8"/>
      <c r="L163" s="33"/>
      <c r="M163" s="8"/>
      <c r="N163" s="8"/>
      <c r="O163" s="8"/>
      <c r="P163" s="8"/>
      <c r="Q163" s="8"/>
      <c r="R163" s="14"/>
      <c r="S163" s="7"/>
      <c r="T163" s="7"/>
      <c r="U163" s="34"/>
      <c r="V163" s="7"/>
      <c r="W163" s="7"/>
      <c r="X163" s="7"/>
      <c r="Y163" s="7"/>
      <c r="Z163" s="7"/>
      <c r="AA163" s="7"/>
    </row>
    <row r="164" spans="1:27" x14ac:dyDescent="0.25">
      <c r="A164" s="51"/>
      <c r="B164" s="7"/>
      <c r="C164" s="8"/>
      <c r="D164" s="8"/>
      <c r="E164" s="8"/>
      <c r="F164" s="8"/>
      <c r="G164" s="8"/>
      <c r="H164" s="8"/>
      <c r="I164" s="8"/>
      <c r="J164" s="33"/>
      <c r="K164" s="8"/>
      <c r="L164" s="33"/>
      <c r="M164" s="8"/>
      <c r="N164" s="8"/>
      <c r="O164" s="8"/>
      <c r="P164" s="8"/>
      <c r="Q164" s="8"/>
      <c r="R164" s="14"/>
      <c r="S164" s="7"/>
      <c r="T164" s="7"/>
      <c r="U164" s="34"/>
      <c r="V164" s="7"/>
      <c r="W164" s="7"/>
      <c r="X164" s="7"/>
      <c r="Y164" s="7"/>
      <c r="Z164" s="7"/>
      <c r="AA164" s="7"/>
    </row>
    <row r="165" spans="1:27" x14ac:dyDescent="0.25">
      <c r="A165" s="51"/>
      <c r="B165" s="7"/>
      <c r="C165" s="8"/>
      <c r="D165" s="8"/>
      <c r="E165" s="8"/>
      <c r="F165" s="8"/>
      <c r="G165" s="8"/>
      <c r="H165" s="8"/>
      <c r="I165" s="8"/>
      <c r="J165" s="33"/>
      <c r="K165" s="8"/>
      <c r="L165" s="33"/>
      <c r="M165" s="8"/>
      <c r="N165" s="8"/>
      <c r="O165" s="8"/>
      <c r="P165" s="8"/>
      <c r="Q165" s="8"/>
      <c r="R165" s="14"/>
      <c r="S165" s="7"/>
      <c r="T165" s="7"/>
      <c r="U165" s="34"/>
      <c r="V165" s="7"/>
      <c r="W165" s="7"/>
      <c r="X165" s="7"/>
      <c r="Y165" s="7"/>
      <c r="Z165" s="7"/>
      <c r="AA165" s="7"/>
    </row>
    <row r="166" spans="1:27" x14ac:dyDescent="0.25">
      <c r="A166" s="51"/>
      <c r="B166" s="7"/>
      <c r="C166" s="8"/>
      <c r="D166" s="8"/>
      <c r="E166" s="8"/>
      <c r="F166" s="8"/>
      <c r="G166" s="8"/>
      <c r="H166" s="8"/>
      <c r="I166" s="8"/>
      <c r="J166" s="33"/>
      <c r="K166" s="8"/>
      <c r="L166" s="33"/>
      <c r="M166" s="8"/>
      <c r="N166" s="8"/>
      <c r="O166" s="8"/>
      <c r="P166" s="8"/>
      <c r="Q166" s="8"/>
      <c r="R166" s="14"/>
      <c r="S166" s="7"/>
      <c r="T166" s="7"/>
      <c r="U166" s="34"/>
      <c r="V166" s="7"/>
      <c r="W166" s="7"/>
      <c r="X166" s="7"/>
      <c r="Y166" s="7"/>
      <c r="Z166" s="7"/>
      <c r="AA166" s="7"/>
    </row>
    <row r="167" spans="1:27" x14ac:dyDescent="0.25">
      <c r="A167" s="51"/>
      <c r="B167" s="7"/>
      <c r="C167" s="8"/>
      <c r="D167" s="8"/>
      <c r="E167" s="8"/>
      <c r="F167" s="8"/>
      <c r="G167" s="8"/>
      <c r="H167" s="8"/>
      <c r="I167" s="8"/>
      <c r="J167" s="33"/>
      <c r="K167" s="8"/>
      <c r="L167" s="33"/>
      <c r="M167" s="8"/>
      <c r="N167" s="8"/>
      <c r="O167" s="8"/>
      <c r="P167" s="8"/>
      <c r="Q167" s="8"/>
      <c r="R167" s="14"/>
      <c r="S167" s="7"/>
      <c r="T167" s="7"/>
      <c r="U167" s="34"/>
      <c r="V167" s="7"/>
      <c r="W167" s="7"/>
      <c r="X167" s="7"/>
      <c r="Y167" s="7"/>
      <c r="Z167" s="7"/>
      <c r="AA167" s="7"/>
    </row>
    <row r="168" spans="1:27" x14ac:dyDescent="0.25">
      <c r="A168" s="51"/>
      <c r="B168" s="7"/>
      <c r="C168" s="8"/>
      <c r="D168" s="8"/>
      <c r="E168" s="8"/>
      <c r="F168" s="8"/>
      <c r="G168" s="8"/>
      <c r="H168" s="8"/>
      <c r="I168" s="8"/>
      <c r="J168" s="33"/>
      <c r="K168" s="8"/>
      <c r="L168" s="33"/>
      <c r="M168" s="8"/>
      <c r="N168" s="8"/>
      <c r="O168" s="8"/>
      <c r="P168" s="8"/>
      <c r="Q168" s="8"/>
      <c r="R168" s="14"/>
      <c r="S168" s="7"/>
      <c r="T168" s="7"/>
      <c r="U168" s="34"/>
      <c r="V168" s="7"/>
      <c r="W168" s="7"/>
      <c r="X168" s="7"/>
      <c r="Y168" s="7"/>
      <c r="Z168" s="7"/>
      <c r="AA168" s="7"/>
    </row>
    <row r="169" spans="1:27" x14ac:dyDescent="0.25">
      <c r="A169" s="51"/>
      <c r="B169" s="7"/>
      <c r="C169" s="8"/>
      <c r="D169" s="8"/>
      <c r="E169" s="8"/>
      <c r="F169" s="8"/>
      <c r="G169" s="8"/>
      <c r="H169" s="8"/>
      <c r="I169" s="8"/>
      <c r="J169" s="33"/>
      <c r="K169" s="8"/>
      <c r="L169" s="33"/>
      <c r="M169" s="8"/>
      <c r="N169" s="8"/>
      <c r="O169" s="8"/>
      <c r="P169" s="8"/>
      <c r="Q169" s="8"/>
      <c r="R169" s="14"/>
      <c r="S169" s="7"/>
      <c r="T169" s="7"/>
      <c r="U169" s="34"/>
      <c r="V169" s="7"/>
      <c r="W169" s="7"/>
      <c r="X169" s="7"/>
      <c r="Y169" s="7"/>
      <c r="Z169" s="7"/>
      <c r="AA169" s="7"/>
    </row>
    <row r="170" spans="1:27" x14ac:dyDescent="0.25">
      <c r="A170" s="51"/>
      <c r="B170" s="7"/>
      <c r="C170" s="8"/>
      <c r="D170" s="8"/>
      <c r="E170" s="8"/>
      <c r="F170" s="8"/>
      <c r="G170" s="8"/>
      <c r="H170" s="8"/>
      <c r="I170" s="8"/>
      <c r="J170" s="33"/>
      <c r="K170" s="8"/>
      <c r="L170" s="33"/>
      <c r="M170" s="8"/>
      <c r="N170" s="8"/>
      <c r="O170" s="8"/>
      <c r="P170" s="8"/>
      <c r="Q170" s="8"/>
      <c r="R170" s="14"/>
      <c r="S170" s="7"/>
      <c r="T170" s="7"/>
      <c r="U170" s="34"/>
      <c r="V170" s="7"/>
      <c r="W170" s="7"/>
      <c r="X170" s="7"/>
      <c r="Y170" s="7"/>
      <c r="Z170" s="7"/>
      <c r="AA170" s="7"/>
    </row>
    <row r="171" spans="1:27" x14ac:dyDescent="0.25">
      <c r="A171" s="51"/>
      <c r="B171" s="7"/>
      <c r="C171" s="8"/>
      <c r="D171" s="8"/>
      <c r="E171" s="8"/>
      <c r="F171" s="8"/>
      <c r="G171" s="8"/>
      <c r="H171" s="8"/>
      <c r="I171" s="8"/>
      <c r="J171" s="33"/>
      <c r="K171" s="8"/>
      <c r="L171" s="33"/>
      <c r="M171" s="8"/>
      <c r="N171" s="8"/>
      <c r="O171" s="8"/>
      <c r="P171" s="8"/>
      <c r="Q171" s="8"/>
      <c r="R171" s="14"/>
      <c r="S171" s="7"/>
      <c r="T171" s="7"/>
      <c r="U171" s="34"/>
      <c r="V171" s="7"/>
      <c r="W171" s="7"/>
      <c r="X171" s="7"/>
      <c r="Y171" s="7"/>
      <c r="Z171" s="7"/>
      <c r="AA171" s="7"/>
    </row>
    <row r="172" spans="1:27" x14ac:dyDescent="0.25">
      <c r="A172" s="51"/>
      <c r="B172" s="7"/>
      <c r="C172" s="8"/>
      <c r="D172" s="8"/>
      <c r="E172" s="8"/>
      <c r="F172" s="8"/>
      <c r="G172" s="8"/>
      <c r="H172" s="8"/>
      <c r="I172" s="8"/>
      <c r="J172" s="33"/>
      <c r="K172" s="8"/>
      <c r="L172" s="33"/>
      <c r="M172" s="8"/>
      <c r="N172" s="8"/>
      <c r="O172" s="8"/>
      <c r="P172" s="8"/>
      <c r="Q172" s="8"/>
      <c r="R172" s="14"/>
      <c r="S172" s="7"/>
      <c r="T172" s="7"/>
      <c r="U172" s="34"/>
      <c r="V172" s="7"/>
      <c r="W172" s="7"/>
      <c r="X172" s="7"/>
      <c r="Y172" s="7"/>
      <c r="Z172" s="7"/>
      <c r="AA172" s="7"/>
    </row>
    <row r="173" spans="1:27" x14ac:dyDescent="0.25">
      <c r="A173" s="51"/>
      <c r="B173" s="7"/>
      <c r="C173" s="8"/>
      <c r="D173" s="8"/>
      <c r="E173" s="8"/>
      <c r="F173" s="8"/>
      <c r="G173" s="8"/>
      <c r="H173" s="8"/>
      <c r="I173" s="8"/>
      <c r="J173" s="33"/>
      <c r="K173" s="8"/>
      <c r="L173" s="33"/>
      <c r="M173" s="8"/>
      <c r="N173" s="8"/>
      <c r="O173" s="8"/>
      <c r="P173" s="8"/>
      <c r="Q173" s="8"/>
      <c r="R173" s="14"/>
      <c r="S173" s="7"/>
      <c r="T173" s="7"/>
      <c r="U173" s="34"/>
      <c r="V173" s="7"/>
      <c r="W173" s="7"/>
      <c r="X173" s="7"/>
      <c r="Y173" s="7"/>
      <c r="Z173" s="7"/>
      <c r="AA173" s="7"/>
    </row>
    <row r="174" spans="1:27" x14ac:dyDescent="0.25">
      <c r="A174" s="51"/>
      <c r="B174" s="7"/>
      <c r="C174" s="8"/>
      <c r="D174" s="8"/>
      <c r="E174" s="8"/>
      <c r="F174" s="8"/>
      <c r="G174" s="8"/>
      <c r="H174" s="8"/>
      <c r="I174" s="8"/>
      <c r="J174" s="33"/>
      <c r="K174" s="8"/>
      <c r="L174" s="33"/>
      <c r="M174" s="8"/>
      <c r="N174" s="8"/>
      <c r="O174" s="8"/>
      <c r="P174" s="8"/>
      <c r="Q174" s="8"/>
      <c r="R174" s="14"/>
      <c r="S174" s="7"/>
      <c r="T174" s="7"/>
      <c r="U174" s="34"/>
      <c r="V174" s="7"/>
      <c r="W174" s="7"/>
      <c r="X174" s="7"/>
      <c r="Y174" s="7"/>
      <c r="Z174" s="7"/>
      <c r="AA174" s="7"/>
    </row>
    <row r="175" spans="1:27" x14ac:dyDescent="0.25">
      <c r="A175" s="51"/>
      <c r="B175" s="7"/>
      <c r="C175" s="8"/>
      <c r="D175" s="8"/>
      <c r="E175" s="8"/>
      <c r="F175" s="8"/>
      <c r="G175" s="8"/>
      <c r="H175" s="8"/>
      <c r="I175" s="8"/>
      <c r="J175" s="33"/>
      <c r="K175" s="8"/>
      <c r="L175" s="33"/>
      <c r="M175" s="8"/>
      <c r="N175" s="8"/>
      <c r="O175" s="8"/>
      <c r="P175" s="8"/>
      <c r="Q175" s="8"/>
      <c r="R175" s="14"/>
      <c r="S175" s="7"/>
      <c r="T175" s="7"/>
      <c r="U175" s="34"/>
      <c r="V175" s="7"/>
      <c r="W175" s="7"/>
      <c r="X175" s="7"/>
      <c r="Y175" s="7"/>
      <c r="Z175" s="7"/>
      <c r="AA175" s="7"/>
    </row>
    <row r="176" spans="1:27" x14ac:dyDescent="0.25">
      <c r="A176" s="51"/>
      <c r="B176" s="7"/>
      <c r="C176" s="8"/>
      <c r="D176" s="8"/>
      <c r="E176" s="8"/>
      <c r="F176" s="8"/>
      <c r="G176" s="8"/>
      <c r="H176" s="8"/>
      <c r="I176" s="8"/>
      <c r="J176" s="33"/>
      <c r="K176" s="8"/>
      <c r="L176" s="33"/>
      <c r="M176" s="8"/>
      <c r="N176" s="8"/>
      <c r="O176" s="8"/>
      <c r="P176" s="8"/>
      <c r="Q176" s="8"/>
      <c r="R176" s="14"/>
      <c r="S176" s="7"/>
      <c r="T176" s="7"/>
      <c r="U176" s="34"/>
      <c r="V176" s="7"/>
      <c r="W176" s="7"/>
      <c r="X176" s="7"/>
      <c r="Y176" s="7"/>
      <c r="Z176" s="7"/>
      <c r="AA176" s="7"/>
    </row>
    <row r="177" spans="1:27" x14ac:dyDescent="0.25">
      <c r="A177" s="51"/>
      <c r="B177" s="7"/>
      <c r="C177" s="8"/>
      <c r="D177" s="8"/>
      <c r="E177" s="8"/>
      <c r="F177" s="8"/>
      <c r="G177" s="8"/>
      <c r="H177" s="8"/>
      <c r="I177" s="8"/>
      <c r="J177" s="33"/>
      <c r="K177" s="8"/>
      <c r="L177" s="33"/>
      <c r="M177" s="8"/>
      <c r="N177" s="8"/>
      <c r="O177" s="8"/>
      <c r="P177" s="8"/>
      <c r="Q177" s="8"/>
      <c r="R177" s="14"/>
      <c r="S177" s="7"/>
      <c r="T177" s="7"/>
      <c r="U177" s="34"/>
      <c r="V177" s="7"/>
      <c r="W177" s="7"/>
      <c r="X177" s="7"/>
      <c r="Y177" s="7"/>
      <c r="Z177" s="7"/>
      <c r="AA177" s="7"/>
    </row>
    <row r="178" spans="1:27" x14ac:dyDescent="0.25">
      <c r="A178" s="51"/>
      <c r="B178" s="7"/>
      <c r="C178" s="8"/>
      <c r="D178" s="8"/>
      <c r="E178" s="8"/>
      <c r="F178" s="8"/>
      <c r="G178" s="8"/>
      <c r="H178" s="8"/>
      <c r="I178" s="8"/>
      <c r="J178" s="33"/>
      <c r="K178" s="8"/>
      <c r="L178" s="33"/>
      <c r="M178" s="8"/>
      <c r="N178" s="8"/>
      <c r="O178" s="8"/>
      <c r="P178" s="8"/>
      <c r="Q178" s="8"/>
      <c r="R178" s="14"/>
      <c r="S178" s="7"/>
      <c r="T178" s="7"/>
      <c r="U178" s="34"/>
      <c r="V178" s="7"/>
      <c r="W178" s="7"/>
      <c r="X178" s="7"/>
      <c r="Y178" s="7"/>
      <c r="Z178" s="7"/>
      <c r="AA178" s="7"/>
    </row>
    <row r="179" spans="1:27" x14ac:dyDescent="0.25">
      <c r="A179" s="51"/>
      <c r="B179" s="7"/>
      <c r="C179" s="8"/>
      <c r="D179" s="8"/>
      <c r="E179" s="8"/>
      <c r="F179" s="8"/>
      <c r="G179" s="8"/>
      <c r="H179" s="8"/>
      <c r="I179" s="8"/>
      <c r="J179" s="33"/>
      <c r="K179" s="8"/>
      <c r="L179" s="33"/>
      <c r="M179" s="8"/>
      <c r="N179" s="8"/>
      <c r="O179" s="8"/>
      <c r="P179" s="8"/>
      <c r="Q179" s="8"/>
      <c r="R179" s="14"/>
      <c r="S179" s="7"/>
      <c r="T179" s="7"/>
      <c r="U179" s="34"/>
      <c r="V179" s="7"/>
      <c r="W179" s="7"/>
      <c r="X179" s="7"/>
      <c r="Y179" s="7"/>
      <c r="Z179" s="7"/>
      <c r="AA179" s="7"/>
    </row>
    <row r="180" spans="1:27" x14ac:dyDescent="0.25">
      <c r="A180" s="51"/>
      <c r="B180" s="7"/>
      <c r="C180" s="8"/>
      <c r="D180" s="8"/>
      <c r="E180" s="8"/>
      <c r="F180" s="8"/>
      <c r="G180" s="8"/>
      <c r="H180" s="8"/>
      <c r="I180" s="8"/>
      <c r="J180" s="33"/>
      <c r="K180" s="8"/>
      <c r="L180" s="33"/>
      <c r="M180" s="8"/>
      <c r="N180" s="8"/>
      <c r="O180" s="8"/>
      <c r="P180" s="8"/>
      <c r="Q180" s="8"/>
      <c r="R180" s="14"/>
      <c r="S180" s="7"/>
      <c r="T180" s="7"/>
      <c r="U180" s="34"/>
      <c r="V180" s="7"/>
      <c r="W180" s="7"/>
      <c r="X180" s="7"/>
      <c r="Y180" s="7"/>
      <c r="Z180" s="7"/>
      <c r="AA180" s="7"/>
    </row>
    <row r="181" spans="1:27" x14ac:dyDescent="0.25">
      <c r="A181" s="51"/>
      <c r="B181" s="7"/>
      <c r="C181" s="8"/>
      <c r="D181" s="8"/>
      <c r="E181" s="8"/>
      <c r="F181" s="8"/>
      <c r="G181" s="8"/>
      <c r="H181" s="8"/>
      <c r="I181" s="8"/>
      <c r="J181" s="33"/>
      <c r="K181" s="8"/>
      <c r="L181" s="33"/>
      <c r="M181" s="8"/>
      <c r="N181" s="8"/>
      <c r="O181" s="8"/>
      <c r="P181" s="8"/>
      <c r="Q181" s="8"/>
      <c r="R181" s="14"/>
      <c r="S181" s="7"/>
      <c r="T181" s="7"/>
      <c r="U181" s="34"/>
      <c r="V181" s="7"/>
      <c r="W181" s="7"/>
      <c r="X181" s="7"/>
      <c r="Y181" s="7"/>
      <c r="Z181" s="7"/>
      <c r="AA181" s="7"/>
    </row>
    <row r="182" spans="1:27" x14ac:dyDescent="0.25">
      <c r="A182" s="51"/>
      <c r="B182" s="7"/>
      <c r="C182" s="8"/>
      <c r="D182" s="8"/>
      <c r="E182" s="8"/>
      <c r="F182" s="8"/>
      <c r="G182" s="8"/>
      <c r="H182" s="8"/>
      <c r="I182" s="8"/>
      <c r="J182" s="33"/>
      <c r="K182" s="8"/>
      <c r="L182" s="33"/>
      <c r="M182" s="8"/>
      <c r="N182" s="8"/>
      <c r="O182" s="8"/>
      <c r="P182" s="8"/>
      <c r="Q182" s="8"/>
      <c r="R182" s="14"/>
      <c r="S182" s="7"/>
      <c r="T182" s="7"/>
      <c r="U182" s="34"/>
      <c r="V182" s="7"/>
      <c r="W182" s="7"/>
      <c r="X182" s="7"/>
      <c r="Y182" s="7"/>
      <c r="Z182" s="7"/>
      <c r="AA182" s="7"/>
    </row>
    <row r="183" spans="1:27" x14ac:dyDescent="0.25">
      <c r="A183" s="51"/>
      <c r="B183" s="7"/>
      <c r="C183" s="8"/>
      <c r="D183" s="8"/>
      <c r="E183" s="8"/>
      <c r="F183" s="8"/>
      <c r="G183" s="8"/>
      <c r="H183" s="8"/>
      <c r="I183" s="8"/>
      <c r="J183" s="33"/>
      <c r="K183" s="8"/>
      <c r="L183" s="33"/>
      <c r="M183" s="8"/>
      <c r="N183" s="8"/>
      <c r="O183" s="8"/>
      <c r="P183" s="8"/>
      <c r="Q183" s="8"/>
      <c r="R183" s="14"/>
      <c r="S183" s="7"/>
      <c r="T183" s="7"/>
      <c r="U183" s="34"/>
      <c r="V183" s="7"/>
      <c r="W183" s="7"/>
      <c r="X183" s="7"/>
      <c r="Y183" s="7"/>
      <c r="Z183" s="7"/>
      <c r="AA183" s="7"/>
    </row>
    <row r="184" spans="1:27" x14ac:dyDescent="0.25">
      <c r="A184" s="51"/>
      <c r="B184" s="7"/>
      <c r="C184" s="8"/>
      <c r="D184" s="8"/>
      <c r="E184" s="8"/>
      <c r="F184" s="8"/>
      <c r="G184" s="8"/>
      <c r="H184" s="8"/>
      <c r="I184" s="8"/>
      <c r="J184" s="33"/>
      <c r="K184" s="8"/>
      <c r="L184" s="33"/>
      <c r="M184" s="8"/>
      <c r="N184" s="8"/>
      <c r="O184" s="8"/>
      <c r="P184" s="8"/>
      <c r="Q184" s="8"/>
      <c r="R184" s="14"/>
      <c r="S184" s="7"/>
      <c r="T184" s="7"/>
      <c r="U184" s="34"/>
      <c r="V184" s="7"/>
      <c r="W184" s="7"/>
      <c r="X184" s="7"/>
      <c r="Y184" s="7"/>
      <c r="Z184" s="7"/>
      <c r="AA184" s="7"/>
    </row>
    <row r="185" spans="1:27" x14ac:dyDescent="0.25">
      <c r="A185" s="51"/>
      <c r="B185" s="7"/>
      <c r="C185" s="8"/>
      <c r="D185" s="8"/>
      <c r="E185" s="8"/>
      <c r="F185" s="8"/>
      <c r="G185" s="8"/>
      <c r="H185" s="8"/>
      <c r="I185" s="8"/>
      <c r="J185" s="33"/>
      <c r="K185" s="8"/>
      <c r="L185" s="33"/>
      <c r="M185" s="8"/>
      <c r="N185" s="8"/>
      <c r="O185" s="8"/>
      <c r="P185" s="8"/>
      <c r="Q185" s="8"/>
      <c r="R185" s="14"/>
      <c r="S185" s="7"/>
      <c r="T185" s="7"/>
      <c r="U185" s="34"/>
      <c r="V185" s="7"/>
      <c r="W185" s="7"/>
      <c r="X185" s="7"/>
      <c r="Y185" s="7"/>
      <c r="Z185" s="7"/>
      <c r="AA185" s="7"/>
    </row>
    <row r="186" spans="1:27" x14ac:dyDescent="0.25">
      <c r="A186" s="51"/>
      <c r="B186" s="7"/>
      <c r="C186" s="8"/>
      <c r="D186" s="8"/>
      <c r="E186" s="8"/>
      <c r="F186" s="8"/>
      <c r="G186" s="8"/>
      <c r="H186" s="8"/>
      <c r="I186" s="8"/>
      <c r="J186" s="33"/>
      <c r="K186" s="8"/>
      <c r="L186" s="33"/>
      <c r="M186" s="8"/>
      <c r="N186" s="8"/>
      <c r="O186" s="8"/>
      <c r="P186" s="8"/>
      <c r="Q186" s="8"/>
      <c r="R186" s="14"/>
      <c r="S186" s="7"/>
      <c r="T186" s="7"/>
      <c r="U186" s="34"/>
      <c r="V186" s="7"/>
      <c r="W186" s="7"/>
      <c r="X186" s="7"/>
      <c r="Y186" s="7"/>
      <c r="Z186" s="7"/>
      <c r="AA186" s="7"/>
    </row>
    <row r="187" spans="1:27" x14ac:dyDescent="0.25">
      <c r="A187" s="51"/>
      <c r="B187" s="7"/>
      <c r="C187" s="8"/>
      <c r="D187" s="8"/>
      <c r="E187" s="8"/>
      <c r="F187" s="8"/>
      <c r="G187" s="8"/>
      <c r="H187" s="8"/>
      <c r="I187" s="8"/>
      <c r="J187" s="33"/>
      <c r="K187" s="8"/>
      <c r="L187" s="33"/>
      <c r="M187" s="8"/>
      <c r="N187" s="8"/>
      <c r="O187" s="8"/>
      <c r="P187" s="8"/>
      <c r="Q187" s="8"/>
      <c r="R187" s="14"/>
      <c r="S187" s="7"/>
      <c r="T187" s="7"/>
      <c r="U187" s="34"/>
      <c r="V187" s="7"/>
      <c r="W187" s="7"/>
      <c r="X187" s="7"/>
      <c r="Y187" s="7"/>
      <c r="Z187" s="7"/>
      <c r="AA187" s="7"/>
    </row>
    <row r="188" spans="1:27" x14ac:dyDescent="0.25">
      <c r="A188" s="51"/>
      <c r="B188" s="7"/>
      <c r="C188" s="8"/>
      <c r="D188" s="33"/>
      <c r="E188" s="8"/>
      <c r="F188" s="8"/>
      <c r="G188" s="8"/>
      <c r="H188" s="33"/>
      <c r="I188" s="8"/>
      <c r="J188" s="35"/>
      <c r="K188" s="8"/>
      <c r="L188" s="8"/>
      <c r="M188" s="8"/>
      <c r="N188" s="8"/>
      <c r="O188" s="8"/>
      <c r="P188" s="8"/>
      <c r="Q188" s="8"/>
      <c r="R188" s="8"/>
      <c r="S188" s="8"/>
      <c r="T188" s="8"/>
    </row>
    <row r="189" spans="1:27" x14ac:dyDescent="0.25">
      <c r="A189" s="51"/>
      <c r="B189" s="7"/>
      <c r="C189" s="8"/>
      <c r="D189" s="33"/>
      <c r="E189" s="8"/>
      <c r="F189" s="8"/>
      <c r="G189" s="8"/>
      <c r="H189" s="33"/>
      <c r="I189" s="8"/>
      <c r="J189" s="35"/>
      <c r="K189" s="8"/>
      <c r="L189" s="8"/>
      <c r="M189" s="8"/>
      <c r="N189" s="8"/>
      <c r="O189" s="8"/>
      <c r="P189" s="8"/>
      <c r="Q189" s="8"/>
      <c r="R189" s="8"/>
      <c r="S189" s="8"/>
      <c r="T189" s="8"/>
    </row>
    <row r="190" spans="1:27" x14ac:dyDescent="0.25">
      <c r="A190" s="51"/>
      <c r="B190" s="7"/>
      <c r="C190" s="8"/>
      <c r="D190" s="33"/>
      <c r="E190" s="8"/>
      <c r="F190" s="8"/>
      <c r="G190" s="8"/>
      <c r="H190" s="33"/>
      <c r="I190" s="8"/>
      <c r="J190" s="35"/>
      <c r="K190" s="8"/>
      <c r="L190" s="8"/>
      <c r="M190" s="8"/>
      <c r="N190" s="8"/>
      <c r="O190" s="8"/>
      <c r="P190" s="8"/>
      <c r="Q190" s="8"/>
      <c r="R190" s="8"/>
      <c r="S190" s="8"/>
      <c r="T190" s="8"/>
    </row>
    <row r="191" spans="1:27" x14ac:dyDescent="0.25">
      <c r="A191" s="51"/>
      <c r="B191" s="7"/>
      <c r="C191" s="7"/>
      <c r="D191" s="33"/>
      <c r="E191" s="8"/>
      <c r="F191" s="8"/>
      <c r="G191" s="8"/>
      <c r="H191" s="33"/>
      <c r="I191" s="8"/>
      <c r="J191" s="35"/>
      <c r="K191" s="8"/>
      <c r="L191" s="8"/>
      <c r="M191" s="8"/>
      <c r="N191" s="8"/>
      <c r="O191" s="8"/>
      <c r="P191" s="8"/>
      <c r="Q191" s="8"/>
      <c r="R191" s="8"/>
      <c r="S191" s="8"/>
      <c r="T191" s="8"/>
    </row>
    <row r="192" spans="1:27" x14ac:dyDescent="0.25">
      <c r="A192" s="51"/>
      <c r="B192" s="7"/>
      <c r="C192" s="7"/>
      <c r="D192" s="33"/>
      <c r="E192" s="8"/>
      <c r="F192" s="8"/>
      <c r="G192" s="8"/>
      <c r="H192" s="33"/>
      <c r="I192" s="8"/>
      <c r="J192" s="35"/>
      <c r="K192" s="8"/>
      <c r="L192" s="8"/>
      <c r="M192" s="8"/>
      <c r="N192" s="8"/>
      <c r="O192" s="8"/>
      <c r="P192" s="8"/>
      <c r="Q192" s="8"/>
      <c r="R192" s="8"/>
      <c r="S192" s="8"/>
      <c r="T192" s="8"/>
    </row>
    <row r="193" spans="1:20" x14ac:dyDescent="0.25">
      <c r="A193" s="51"/>
      <c r="B193" s="7"/>
      <c r="C193" s="7"/>
      <c r="D193" s="33"/>
      <c r="E193" s="8"/>
      <c r="F193" s="8"/>
      <c r="G193" s="8"/>
      <c r="H193" s="33"/>
      <c r="I193" s="8"/>
      <c r="J193" s="35"/>
      <c r="K193" s="8"/>
      <c r="L193" s="8"/>
      <c r="M193" s="8"/>
      <c r="N193" s="8"/>
      <c r="O193" s="8"/>
      <c r="P193" s="8"/>
      <c r="Q193" s="8"/>
      <c r="R193" s="8"/>
      <c r="S193" s="8"/>
      <c r="T193" s="8"/>
    </row>
    <row r="194" spans="1:20" x14ac:dyDescent="0.25">
      <c r="A194" s="51"/>
      <c r="B194" s="7"/>
      <c r="C194" s="7"/>
      <c r="D194" s="33"/>
      <c r="E194" s="8"/>
      <c r="F194" s="8"/>
      <c r="G194" s="8"/>
      <c r="H194" s="33"/>
      <c r="I194" s="8"/>
      <c r="J194" s="35"/>
      <c r="K194" s="8"/>
      <c r="L194" s="8"/>
      <c r="M194" s="8"/>
      <c r="N194" s="8"/>
      <c r="O194" s="8"/>
      <c r="P194" s="8"/>
      <c r="Q194" s="8"/>
      <c r="R194" s="8"/>
      <c r="S194" s="8"/>
      <c r="T194" s="8"/>
    </row>
    <row r="195" spans="1:20" x14ac:dyDescent="0.25">
      <c r="A195" s="51"/>
      <c r="B195" s="7"/>
      <c r="C195" s="7"/>
      <c r="D195" s="33"/>
      <c r="E195" s="8"/>
      <c r="F195" s="8"/>
      <c r="G195" s="8"/>
      <c r="H195" s="33"/>
      <c r="I195" s="8"/>
      <c r="J195" s="35"/>
      <c r="K195" s="8"/>
      <c r="L195" s="8"/>
      <c r="M195" s="8"/>
      <c r="N195" s="8"/>
      <c r="O195" s="8"/>
      <c r="P195" s="8"/>
      <c r="Q195" s="8"/>
      <c r="R195" s="8"/>
      <c r="S195" s="8"/>
      <c r="T195" s="8"/>
    </row>
    <row r="196" spans="1:20" x14ac:dyDescent="0.25">
      <c r="A196" s="51"/>
      <c r="B196" s="7"/>
      <c r="C196" s="7"/>
      <c r="D196" s="33"/>
      <c r="E196" s="8"/>
      <c r="F196" s="8"/>
      <c r="G196" s="8"/>
      <c r="H196" s="33"/>
      <c r="I196" s="8"/>
      <c r="J196" s="35"/>
      <c r="K196" s="8"/>
      <c r="L196" s="8"/>
      <c r="M196" s="8"/>
      <c r="N196" s="8"/>
      <c r="O196" s="8"/>
      <c r="P196" s="8"/>
      <c r="Q196" s="8"/>
      <c r="R196" s="8"/>
      <c r="S196" s="8"/>
      <c r="T196" s="8"/>
    </row>
    <row r="197" spans="1:20" x14ac:dyDescent="0.25">
      <c r="A197" s="51"/>
      <c r="B197" s="7"/>
      <c r="C197" s="7"/>
      <c r="D197" s="33"/>
      <c r="E197" s="8"/>
      <c r="F197" s="8"/>
      <c r="G197" s="8"/>
      <c r="H197" s="33"/>
      <c r="I197" s="8"/>
      <c r="J197" s="35"/>
      <c r="K197" s="8"/>
      <c r="L197" s="8"/>
      <c r="M197" s="8"/>
      <c r="N197" s="8"/>
      <c r="O197" s="8"/>
      <c r="P197" s="8"/>
      <c r="Q197" s="8"/>
      <c r="R197" s="8"/>
      <c r="S197" s="8"/>
      <c r="T197" s="8"/>
    </row>
    <row r="198" spans="1:20" x14ac:dyDescent="0.25">
      <c r="A198" s="51"/>
      <c r="B198" s="7"/>
      <c r="C198" s="7"/>
      <c r="D198" s="33"/>
      <c r="E198" s="8"/>
      <c r="F198" s="8"/>
      <c r="G198" s="8"/>
      <c r="H198" s="33"/>
      <c r="I198" s="8"/>
      <c r="J198" s="35"/>
      <c r="K198" s="8"/>
      <c r="L198" s="8"/>
      <c r="M198" s="8"/>
      <c r="N198" s="8"/>
      <c r="O198" s="8"/>
      <c r="P198" s="8"/>
      <c r="Q198" s="8"/>
      <c r="R198" s="8"/>
      <c r="S198" s="8"/>
      <c r="T198" s="8"/>
    </row>
    <row r="199" spans="1:20" x14ac:dyDescent="0.25">
      <c r="A199" s="51"/>
      <c r="B199" s="7"/>
      <c r="C199" s="7"/>
      <c r="D199" s="33"/>
      <c r="E199" s="8"/>
      <c r="F199" s="8"/>
      <c r="G199" s="8"/>
      <c r="H199" s="33"/>
      <c r="I199" s="8"/>
      <c r="J199" s="35"/>
      <c r="K199" s="8"/>
      <c r="L199" s="8"/>
      <c r="M199" s="8"/>
      <c r="N199" s="8"/>
      <c r="O199" s="8"/>
      <c r="P199" s="8"/>
      <c r="Q199" s="8"/>
      <c r="R199" s="8"/>
      <c r="S199" s="8"/>
      <c r="T199" s="8"/>
    </row>
    <row r="200" spans="1:20" x14ac:dyDescent="0.25">
      <c r="A200" s="51"/>
      <c r="B200" s="7"/>
      <c r="C200" s="7"/>
      <c r="D200" s="33"/>
      <c r="E200" s="8"/>
      <c r="F200" s="8"/>
      <c r="G200" s="8"/>
      <c r="H200" s="33"/>
      <c r="I200" s="8"/>
      <c r="J200" s="35"/>
      <c r="K200" s="8"/>
      <c r="L200" s="8"/>
      <c r="M200" s="8"/>
      <c r="N200" s="8"/>
      <c r="O200" s="8"/>
      <c r="P200" s="8"/>
      <c r="Q200" s="8"/>
      <c r="R200" s="8"/>
      <c r="S200" s="8"/>
      <c r="T200" s="8"/>
    </row>
    <row r="201" spans="1:20" x14ac:dyDescent="0.25">
      <c r="A201" s="51"/>
      <c r="B201" s="7"/>
      <c r="C201" s="7"/>
      <c r="D201" s="33"/>
      <c r="E201" s="8"/>
      <c r="F201" s="8"/>
      <c r="G201" s="8"/>
      <c r="H201" s="33"/>
      <c r="I201" s="8"/>
      <c r="J201" s="35"/>
      <c r="K201" s="8"/>
      <c r="L201" s="8"/>
      <c r="M201" s="8"/>
      <c r="N201" s="8"/>
      <c r="O201" s="8"/>
      <c r="P201" s="8"/>
      <c r="Q201" s="8"/>
      <c r="R201" s="8"/>
      <c r="S201" s="8"/>
      <c r="T201" s="8"/>
    </row>
    <row r="202" spans="1:20" x14ac:dyDescent="0.25">
      <c r="A202" s="51"/>
      <c r="B202" s="7"/>
      <c r="C202" s="7"/>
      <c r="D202" s="33"/>
      <c r="E202" s="8"/>
      <c r="F202" s="8"/>
      <c r="G202" s="8"/>
      <c r="H202" s="33"/>
      <c r="I202" s="8"/>
      <c r="J202" s="35"/>
      <c r="K202" s="8"/>
      <c r="L202" s="8"/>
      <c r="M202" s="8"/>
      <c r="N202" s="8"/>
      <c r="O202" s="8"/>
      <c r="P202" s="8"/>
      <c r="Q202" s="8"/>
      <c r="R202" s="8"/>
      <c r="S202" s="8"/>
      <c r="T202" s="8"/>
    </row>
    <row r="203" spans="1:20" x14ac:dyDescent="0.25">
      <c r="A203" s="51"/>
      <c r="B203" s="7"/>
      <c r="C203" s="7"/>
      <c r="D203" s="33"/>
      <c r="E203" s="8"/>
      <c r="F203" s="8"/>
      <c r="G203" s="8"/>
      <c r="H203" s="33"/>
      <c r="I203" s="8"/>
      <c r="J203" s="35"/>
      <c r="K203" s="8"/>
      <c r="L203" s="8"/>
      <c r="M203" s="8"/>
      <c r="N203" s="8"/>
      <c r="O203" s="8"/>
      <c r="P203" s="8"/>
      <c r="Q203" s="8"/>
      <c r="R203" s="8"/>
      <c r="S203" s="8"/>
      <c r="T203" s="8"/>
    </row>
    <row r="204" spans="1:20" x14ac:dyDescent="0.25">
      <c r="A204" s="51"/>
      <c r="B204" s="7"/>
      <c r="C204" s="7"/>
      <c r="D204" s="33"/>
      <c r="E204" s="8"/>
      <c r="F204" s="8"/>
      <c r="G204" s="8"/>
      <c r="H204" s="33"/>
      <c r="I204" s="8"/>
      <c r="J204" s="35"/>
      <c r="K204" s="8"/>
      <c r="L204" s="8"/>
      <c r="M204" s="8"/>
      <c r="N204" s="8"/>
      <c r="O204" s="8"/>
      <c r="P204" s="8"/>
      <c r="Q204" s="8"/>
      <c r="R204" s="8"/>
      <c r="S204" s="8"/>
      <c r="T204" s="8"/>
    </row>
    <row r="205" spans="1:20" x14ac:dyDescent="0.25">
      <c r="A205" s="51"/>
      <c r="B205" s="7"/>
      <c r="C205" s="7"/>
      <c r="D205" s="33"/>
      <c r="E205" s="8"/>
      <c r="F205" s="8"/>
      <c r="G205" s="8"/>
      <c r="H205" s="33"/>
      <c r="I205" s="8"/>
      <c r="J205" s="35"/>
      <c r="K205" s="8"/>
      <c r="L205" s="8"/>
      <c r="M205" s="8"/>
      <c r="N205" s="8"/>
      <c r="O205" s="8"/>
      <c r="P205" s="8"/>
      <c r="Q205" s="8"/>
      <c r="R205" s="8"/>
      <c r="S205" s="8"/>
      <c r="T205" s="8"/>
    </row>
    <row r="206" spans="1:20" x14ac:dyDescent="0.25">
      <c r="A206" s="51"/>
      <c r="B206" s="7"/>
      <c r="C206" s="7"/>
      <c r="D206" s="33"/>
      <c r="E206" s="8"/>
      <c r="F206" s="8"/>
      <c r="G206" s="8"/>
      <c r="H206" s="33"/>
      <c r="I206" s="8"/>
      <c r="J206" s="35"/>
      <c r="K206" s="8"/>
      <c r="L206" s="8"/>
      <c r="M206" s="8"/>
      <c r="N206" s="8"/>
      <c r="O206" s="8"/>
      <c r="P206" s="8"/>
      <c r="Q206" s="8"/>
      <c r="R206" s="8"/>
      <c r="S206" s="8"/>
      <c r="T206" s="8"/>
    </row>
    <row r="207" spans="1:20" x14ac:dyDescent="0.25">
      <c r="A207" s="51"/>
      <c r="B207" s="7"/>
      <c r="C207" s="7"/>
      <c r="D207" s="33"/>
      <c r="E207" s="8"/>
      <c r="F207" s="8"/>
      <c r="G207" s="8"/>
      <c r="H207" s="33"/>
      <c r="I207" s="8"/>
      <c r="J207" s="35"/>
      <c r="K207" s="8"/>
      <c r="L207" s="8"/>
      <c r="M207" s="8"/>
      <c r="N207" s="8"/>
      <c r="O207" s="8"/>
      <c r="P207" s="8"/>
      <c r="Q207" s="8"/>
      <c r="R207" s="8"/>
      <c r="S207" s="8"/>
      <c r="T207" s="8"/>
    </row>
    <row r="208" spans="1:20" x14ac:dyDescent="0.25">
      <c r="A208" s="51"/>
      <c r="B208" s="7"/>
      <c r="C208" s="7"/>
      <c r="D208" s="33"/>
      <c r="E208" s="8"/>
      <c r="F208" s="8"/>
      <c r="G208" s="8"/>
      <c r="H208" s="33"/>
      <c r="I208" s="8"/>
      <c r="J208" s="35"/>
      <c r="K208" s="8"/>
      <c r="L208" s="8"/>
      <c r="M208" s="8"/>
      <c r="N208" s="8"/>
      <c r="O208" s="8"/>
      <c r="P208" s="8"/>
      <c r="Q208" s="8"/>
      <c r="R208" s="8"/>
      <c r="S208" s="8"/>
      <c r="T208" s="8"/>
    </row>
    <row r="209" spans="1:20" x14ac:dyDescent="0.25">
      <c r="A209" s="51"/>
      <c r="B209" s="7"/>
      <c r="C209" s="7"/>
      <c r="D209" s="33"/>
      <c r="E209" s="8"/>
      <c r="F209" s="8"/>
      <c r="G209" s="8"/>
      <c r="H209" s="33"/>
      <c r="I209" s="8"/>
      <c r="J209" s="35"/>
      <c r="K209" s="8"/>
      <c r="L209" s="8"/>
      <c r="M209" s="8"/>
      <c r="N209" s="8"/>
      <c r="O209" s="8"/>
      <c r="P209" s="8"/>
      <c r="Q209" s="8"/>
      <c r="R209" s="8"/>
      <c r="S209" s="8"/>
      <c r="T209" s="8"/>
    </row>
    <row r="210" spans="1:20" x14ac:dyDescent="0.25">
      <c r="A210" s="51"/>
      <c r="B210" s="7"/>
      <c r="C210" s="7"/>
      <c r="D210" s="33"/>
      <c r="E210" s="8"/>
      <c r="F210" s="8"/>
      <c r="G210" s="8"/>
      <c r="H210" s="33"/>
      <c r="I210" s="8"/>
      <c r="J210" s="35"/>
      <c r="K210" s="8"/>
      <c r="L210" s="8"/>
      <c r="M210" s="8"/>
      <c r="N210" s="8"/>
      <c r="O210" s="8"/>
      <c r="P210" s="8"/>
      <c r="Q210" s="8"/>
      <c r="R210" s="8"/>
      <c r="S210" s="8"/>
      <c r="T210" s="8"/>
    </row>
    <row r="211" spans="1:20" x14ac:dyDescent="0.25">
      <c r="A211" s="51"/>
      <c r="B211" s="7"/>
      <c r="C211" s="7"/>
      <c r="D211" s="33"/>
      <c r="E211" s="8"/>
      <c r="F211" s="8"/>
      <c r="G211" s="8"/>
      <c r="H211" s="33"/>
      <c r="I211" s="8"/>
      <c r="J211" s="35"/>
      <c r="K211" s="8"/>
      <c r="L211" s="8"/>
      <c r="M211" s="8"/>
      <c r="N211" s="8"/>
      <c r="O211" s="8"/>
      <c r="P211" s="8"/>
      <c r="Q211" s="8"/>
      <c r="R211" s="8"/>
      <c r="S211" s="8"/>
      <c r="T211" s="8"/>
    </row>
    <row r="212" spans="1:20" x14ac:dyDescent="0.25">
      <c r="A212" s="51"/>
      <c r="B212" s="7"/>
      <c r="C212" s="7"/>
      <c r="D212" s="33"/>
      <c r="E212" s="8"/>
      <c r="F212" s="8"/>
      <c r="G212" s="8"/>
      <c r="H212" s="33"/>
      <c r="I212" s="8"/>
      <c r="J212" s="35"/>
      <c r="K212" s="8"/>
      <c r="L212" s="8"/>
      <c r="M212" s="8"/>
      <c r="N212" s="8"/>
      <c r="O212" s="8"/>
      <c r="P212" s="8"/>
      <c r="Q212" s="8"/>
      <c r="R212" s="8"/>
      <c r="S212" s="8"/>
      <c r="T212" s="8"/>
    </row>
    <row r="213" spans="1:20" x14ac:dyDescent="0.25">
      <c r="A213" s="51"/>
      <c r="B213" s="7"/>
      <c r="C213" s="7"/>
      <c r="D213" s="33"/>
      <c r="E213" s="8"/>
      <c r="F213" s="8"/>
      <c r="G213" s="8"/>
      <c r="H213" s="33"/>
      <c r="I213" s="8"/>
      <c r="J213" s="35"/>
      <c r="K213" s="8"/>
      <c r="L213" s="8"/>
      <c r="M213" s="8"/>
      <c r="N213" s="8"/>
      <c r="O213" s="8"/>
      <c r="P213" s="8"/>
      <c r="Q213" s="8"/>
      <c r="R213" s="8"/>
      <c r="S213" s="8"/>
      <c r="T213" s="8"/>
    </row>
    <row r="214" spans="1:20" x14ac:dyDescent="0.25">
      <c r="A214" s="51"/>
      <c r="B214" s="7"/>
      <c r="C214" s="7"/>
      <c r="D214" s="33"/>
      <c r="E214" s="8"/>
      <c r="F214" s="8"/>
      <c r="G214" s="8"/>
      <c r="H214" s="33"/>
      <c r="I214" s="8"/>
      <c r="J214" s="35"/>
      <c r="K214" s="8"/>
      <c r="L214" s="8"/>
      <c r="M214" s="8"/>
      <c r="N214" s="8"/>
      <c r="O214" s="8"/>
      <c r="P214" s="8"/>
      <c r="Q214" s="8"/>
      <c r="R214" s="8"/>
      <c r="S214" s="8"/>
      <c r="T214" s="8"/>
    </row>
    <row r="215" spans="1:20" x14ac:dyDescent="0.25">
      <c r="A215" s="51"/>
      <c r="B215" s="7"/>
      <c r="C215" s="7"/>
      <c r="D215" s="33"/>
      <c r="E215" s="8"/>
      <c r="F215" s="8"/>
      <c r="G215" s="8"/>
      <c r="H215" s="33"/>
      <c r="I215" s="8"/>
      <c r="J215" s="35"/>
      <c r="K215" s="8"/>
      <c r="L215" s="8"/>
      <c r="M215" s="8"/>
      <c r="N215" s="8"/>
      <c r="O215" s="8"/>
      <c r="P215" s="8"/>
      <c r="Q215" s="8"/>
      <c r="R215" s="8"/>
      <c r="S215" s="8"/>
      <c r="T215" s="8"/>
    </row>
    <row r="216" spans="1:20" x14ac:dyDescent="0.25">
      <c r="A216" s="51"/>
      <c r="B216" s="7"/>
      <c r="C216" s="7"/>
      <c r="D216" s="33"/>
      <c r="E216" s="8"/>
      <c r="F216" s="8"/>
      <c r="G216" s="8"/>
      <c r="H216" s="33"/>
      <c r="I216" s="8"/>
      <c r="J216" s="35"/>
      <c r="K216" s="8"/>
      <c r="L216" s="8"/>
      <c r="M216" s="8"/>
      <c r="N216" s="8"/>
      <c r="O216" s="8"/>
      <c r="P216" s="8"/>
      <c r="Q216" s="8"/>
      <c r="R216" s="8"/>
      <c r="S216" s="8"/>
      <c r="T216" s="8"/>
    </row>
    <row r="217" spans="1:20" x14ac:dyDescent="0.25">
      <c r="A217" s="51"/>
      <c r="B217" s="7"/>
      <c r="C217" s="7"/>
      <c r="D217" s="33"/>
      <c r="E217" s="8"/>
      <c r="F217" s="8"/>
      <c r="G217" s="8"/>
      <c r="H217" s="33"/>
      <c r="I217" s="8"/>
      <c r="J217" s="35"/>
      <c r="K217" s="8"/>
      <c r="L217" s="8"/>
      <c r="M217" s="8"/>
      <c r="N217" s="8"/>
      <c r="O217" s="8"/>
      <c r="P217" s="8"/>
      <c r="Q217" s="8"/>
      <c r="R217" s="8"/>
      <c r="S217" s="8"/>
      <c r="T217" s="8"/>
    </row>
    <row r="218" spans="1:20" x14ac:dyDescent="0.25">
      <c r="D218" s="8"/>
      <c r="E218" s="29"/>
      <c r="F218" s="8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</row>
    <row r="219" spans="1:20" x14ac:dyDescent="0.25">
      <c r="D219" s="8"/>
      <c r="E219" s="29"/>
      <c r="F219" s="8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</row>
    <row r="220" spans="1:20" x14ac:dyDescent="0.25">
      <c r="D220" s="8"/>
      <c r="E220" s="29"/>
      <c r="F220" s="8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</row>
    <row r="221" spans="1:20" x14ac:dyDescent="0.25">
      <c r="D221" s="8"/>
      <c r="E221" s="29"/>
      <c r="F221" s="8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</row>
  </sheetData>
  <conditionalFormatting sqref="R1">
    <cfRule type="containsText" dxfId="97" priority="45" operator="containsText" text="Physical">
      <formula>NOT(ISERROR(SEARCH("Physical",R1)))</formula>
    </cfRule>
    <cfRule type="containsText" dxfId="96" priority="46" operator="containsText" text="Ethereal">
      <formula>NOT(ISERROR(SEARCH("Ethereal",R1)))</formula>
    </cfRule>
    <cfRule type="containsText" dxfId="95" priority="47" operator="containsText" text="Decay">
      <formula>NOT(ISERROR(SEARCH("Decay",R1)))</formula>
    </cfRule>
    <cfRule type="containsText" dxfId="94" priority="48" operator="containsText" text="Lightning">
      <formula>NOT(ISERROR(SEARCH("Lightning",R1)))</formula>
    </cfRule>
    <cfRule type="containsText" dxfId="93" priority="49" operator="containsText" text="Frost">
      <formula>NOT(ISERROR(SEARCH("Frost",R1)))</formula>
    </cfRule>
    <cfRule type="containsText" dxfId="92" priority="50" operator="containsText" text="Fire">
      <formula>NOT(ISERROR(SEARCH("Fire",R1)))</formula>
    </cfRule>
    <cfRule type="containsText" dxfId="91" priority="51" operator="containsText" text="Raw">
      <formula>NOT(ISERROR(SEARCH("Raw",R1)))</formula>
    </cfRule>
  </conditionalFormatting>
  <conditionalFormatting sqref="R3:R111">
    <cfRule type="containsText" dxfId="90" priority="38" operator="containsText" text="Physical">
      <formula>NOT(ISERROR(SEARCH("Physical",R3)))</formula>
    </cfRule>
    <cfRule type="containsText" dxfId="89" priority="39" operator="containsText" text="Ethereal">
      <formula>NOT(ISERROR(SEARCH("Ethereal",R3)))</formula>
    </cfRule>
    <cfRule type="containsText" dxfId="88" priority="40" operator="containsText" text="Decay">
      <formula>NOT(ISERROR(SEARCH("Decay",R3)))</formula>
    </cfRule>
    <cfRule type="containsText" dxfId="87" priority="41" operator="containsText" text="Lightning">
      <formula>NOT(ISERROR(SEARCH("Lightning",R3)))</formula>
    </cfRule>
    <cfRule type="containsText" dxfId="86" priority="42" operator="containsText" text="Frost">
      <formula>NOT(ISERROR(SEARCH("Frost",R3)))</formula>
    </cfRule>
    <cfRule type="containsText" dxfId="85" priority="43" operator="containsText" text="Fire">
      <formula>NOT(ISERROR(SEARCH("Fire",R3)))</formula>
    </cfRule>
    <cfRule type="containsText" dxfId="84" priority="44" operator="containsText" text="Raw">
      <formula>NOT(ISERROR(SEARCH("Raw",R3)))</formula>
    </cfRule>
  </conditionalFormatting>
  <conditionalFormatting sqref="R2">
    <cfRule type="containsText" dxfId="83" priority="19" operator="containsText" text="Physical">
      <formula>NOT(ISERROR(SEARCH("Physical",R2)))</formula>
    </cfRule>
    <cfRule type="containsText" dxfId="82" priority="20" operator="containsText" text="Ethereal">
      <formula>NOT(ISERROR(SEARCH("Ethereal",R2)))</formula>
    </cfRule>
    <cfRule type="containsText" dxfId="81" priority="21" operator="containsText" text="Decay">
      <formula>NOT(ISERROR(SEARCH("Decay",R2)))</formula>
    </cfRule>
    <cfRule type="containsText" dxfId="80" priority="22" operator="containsText" text="Lightning">
      <formula>NOT(ISERROR(SEARCH("Lightning",R2)))</formula>
    </cfRule>
    <cfRule type="containsText" dxfId="79" priority="23" operator="containsText" text="Frost">
      <formula>NOT(ISERROR(SEARCH("Frost",R2)))</formula>
    </cfRule>
    <cfRule type="containsText" dxfId="78" priority="24" operator="containsText" text="Fire">
      <formula>NOT(ISERROR(SEARCH("Fire",R2)))</formula>
    </cfRule>
    <cfRule type="containsText" dxfId="77" priority="25" operator="containsText" text="Raw">
      <formula>NOT(ISERROR(SEARCH("Raw",R2)))</formula>
    </cfRule>
  </conditionalFormatting>
  <conditionalFormatting sqref="T2:T111">
    <cfRule type="expression" dxfId="76" priority="13">
      <formula>MOD(ROW(), 2)=1</formula>
    </cfRule>
    <cfRule type="expression" dxfId="75" priority="14">
      <formula>MOD(ROW(), 2)=0</formula>
    </cfRule>
  </conditionalFormatting>
  <conditionalFormatting sqref="U2:U111">
    <cfRule type="expression" dxfId="74" priority="11">
      <formula>MOD(ROW(), 2)=1</formula>
    </cfRule>
    <cfRule type="expression" dxfId="73" priority="12">
      <formula>MOD(ROW(), 2)=0</formula>
    </cfRule>
  </conditionalFormatting>
  <conditionalFormatting sqref="P2:Q111 T2:U111">
    <cfRule type="cellIs" dxfId="72" priority="17" operator="greaterThan">
      <formula>0</formula>
    </cfRule>
    <cfRule type="cellIs" dxfId="71" priority="18" operator="lessThan">
      <formula>0</formula>
    </cfRule>
  </conditionalFormatting>
  <conditionalFormatting sqref="M2:M111">
    <cfRule type="expression" dxfId="70" priority="3">
      <formula>MOD(ROW(), 2)=1</formula>
    </cfRule>
    <cfRule type="expression" dxfId="69" priority="4">
      <formula>MOD(ROW(), 2)=0</formula>
    </cfRule>
  </conditionalFormatting>
  <conditionalFormatting sqref="O2:O111">
    <cfRule type="expression" dxfId="68" priority="1">
      <formula>MOD(ROW(), 2)=1</formula>
    </cfRule>
    <cfRule type="expression" dxfId="67" priority="2">
      <formula>MOD(ROW(), 2)=0</formula>
    </cfRule>
  </conditionalFormatting>
  <conditionalFormatting sqref="M2:O111">
    <cfRule type="cellIs" dxfId="66" priority="5" operator="greaterThan">
      <formula>0</formula>
    </cfRule>
    <cfRule type="cellIs" dxfId="65" priority="6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129"/>
  <sheetViews>
    <sheetView topLeftCell="A64" workbookViewId="0">
      <selection activeCell="M2" sqref="M2:O75"/>
    </sheetView>
  </sheetViews>
  <sheetFormatPr defaultRowHeight="15" x14ac:dyDescent="0.25"/>
  <cols>
    <col min="1" max="1" width="11.42578125" style="50" customWidth="1"/>
    <col min="2" max="2" width="30.140625" customWidth="1"/>
    <col min="3" max="3" width="7.7109375" style="3" customWidth="1"/>
    <col min="4" max="4" width="4.7109375" style="3" customWidth="1"/>
    <col min="5" max="9" width="4.7109375" customWidth="1"/>
    <col min="10" max="10" width="8.140625" customWidth="1"/>
    <col min="11" max="11" width="9.7109375" customWidth="1"/>
    <col min="12" max="12" width="8.7109375" customWidth="1"/>
    <col min="16" max="16" width="9.140625" customWidth="1"/>
    <col min="17" max="17" width="9.28515625" customWidth="1"/>
    <col min="18" max="18" width="13.7109375" customWidth="1"/>
    <col min="23" max="23" width="11.85546875" customWidth="1"/>
    <col min="25" max="25" width="14.85546875" customWidth="1"/>
    <col min="27" max="27" width="13.28515625" customWidth="1"/>
  </cols>
  <sheetData>
    <row r="1" spans="1:27" x14ac:dyDescent="0.25">
      <c r="A1" s="50" t="s">
        <v>0</v>
      </c>
      <c r="B1" s="54" t="s">
        <v>1</v>
      </c>
      <c r="C1" s="76" t="s">
        <v>130</v>
      </c>
      <c r="D1" s="76" t="s">
        <v>131</v>
      </c>
      <c r="E1" s="3" t="s">
        <v>132</v>
      </c>
      <c r="F1" s="76" t="s">
        <v>133</v>
      </c>
      <c r="G1" s="77" t="s">
        <v>134</v>
      </c>
      <c r="H1" s="76" t="s">
        <v>135</v>
      </c>
      <c r="I1" s="76" t="s">
        <v>472</v>
      </c>
      <c r="J1" s="3" t="s">
        <v>585</v>
      </c>
      <c r="K1" s="3" t="s">
        <v>586</v>
      </c>
      <c r="L1" s="3" t="s">
        <v>595</v>
      </c>
      <c r="M1" t="s">
        <v>587</v>
      </c>
      <c r="N1" t="s">
        <v>589</v>
      </c>
      <c r="O1" t="s">
        <v>588</v>
      </c>
      <c r="P1" t="s">
        <v>590</v>
      </c>
      <c r="Q1" t="s">
        <v>591</v>
      </c>
      <c r="R1" t="s">
        <v>468</v>
      </c>
      <c r="S1" s="3" t="s">
        <v>469</v>
      </c>
      <c r="T1" t="s">
        <v>593</v>
      </c>
      <c r="U1" t="s">
        <v>594</v>
      </c>
      <c r="V1" t="s">
        <v>136</v>
      </c>
      <c r="W1" t="s">
        <v>137</v>
      </c>
      <c r="X1" t="s">
        <v>138</v>
      </c>
      <c r="Y1" t="s">
        <v>4</v>
      </c>
      <c r="Z1" t="s">
        <v>470</v>
      </c>
      <c r="AA1" t="s">
        <v>85</v>
      </c>
    </row>
    <row r="2" spans="1:27" x14ac:dyDescent="0.25">
      <c r="A2" s="81">
        <v>3000022</v>
      </c>
      <c r="B2" s="55" t="s">
        <v>391</v>
      </c>
      <c r="C2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2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2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2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8</v>
      </c>
      <c r="I2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9</v>
      </c>
      <c r="K2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2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2</v>
      </c>
      <c r="N2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2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" s="49"/>
      <c r="S2" s="8"/>
      <c r="T2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2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6</v>
      </c>
      <c r="V2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275</v>
      </c>
      <c r="W2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4</v>
      </c>
      <c r="X2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115</v>
      </c>
      <c r="Y2" s="8"/>
      <c r="Z2" s="8"/>
      <c r="AA2" s="55" t="s">
        <v>491</v>
      </c>
    </row>
    <row r="3" spans="1:27" x14ac:dyDescent="0.25">
      <c r="A3" s="81">
        <v>3100132</v>
      </c>
      <c r="B3" s="84" t="s">
        <v>392</v>
      </c>
      <c r="C3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3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9</v>
      </c>
      <c r="H3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13</v>
      </c>
      <c r="K3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3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3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3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" s="49" t="s">
        <v>233</v>
      </c>
      <c r="S3" s="8"/>
      <c r="T3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3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10</v>
      </c>
      <c r="V3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275</v>
      </c>
      <c r="W3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4</v>
      </c>
      <c r="X3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" s="8"/>
      <c r="Z3" s="8"/>
      <c r="AA3" s="55" t="s">
        <v>492</v>
      </c>
    </row>
    <row r="4" spans="1:27" ht="30" x14ac:dyDescent="0.25">
      <c r="A4" s="81">
        <v>3100252</v>
      </c>
      <c r="B4" s="84" t="s">
        <v>393</v>
      </c>
      <c r="C4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4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4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4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5</v>
      </c>
      <c r="K4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4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4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4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" s="49" t="s">
        <v>480</v>
      </c>
      <c r="S4" s="8"/>
      <c r="T4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4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15</v>
      </c>
      <c r="V4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200</v>
      </c>
      <c r="W4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4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4" s="8"/>
      <c r="Z4" s="8"/>
      <c r="AA4" s="56" t="s">
        <v>540</v>
      </c>
    </row>
    <row r="5" spans="1:27" x14ac:dyDescent="0.25">
      <c r="A5" s="81">
        <v>3000222</v>
      </c>
      <c r="B5" s="84" t="s">
        <v>394</v>
      </c>
      <c r="C5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4</v>
      </c>
      <c r="D5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11</v>
      </c>
      <c r="F5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5</v>
      </c>
      <c r="K5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5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5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5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" s="49"/>
      <c r="S5" s="8"/>
      <c r="T5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3</v>
      </c>
      <c r="U5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14</v>
      </c>
      <c r="V5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200</v>
      </c>
      <c r="W5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5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" s="8"/>
      <c r="Z5" s="8"/>
      <c r="AA5" s="55" t="s">
        <v>493</v>
      </c>
    </row>
    <row r="6" spans="1:27" x14ac:dyDescent="0.25">
      <c r="A6" s="81">
        <v>3100442</v>
      </c>
      <c r="B6" s="84" t="s">
        <v>395</v>
      </c>
      <c r="C6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6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6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6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6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8</v>
      </c>
      <c r="K6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6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2</v>
      </c>
      <c r="M6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6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6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" s="49"/>
      <c r="S6" s="8"/>
      <c r="T6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1</v>
      </c>
      <c r="U6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6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600</v>
      </c>
      <c r="W6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6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" s="8"/>
      <c r="Z6" s="8"/>
      <c r="AA6" s="56" t="s">
        <v>494</v>
      </c>
    </row>
    <row r="7" spans="1:27" x14ac:dyDescent="0.25">
      <c r="A7" s="81">
        <v>3000332</v>
      </c>
      <c r="B7" s="84" t="s">
        <v>396</v>
      </c>
      <c r="C7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6</v>
      </c>
      <c r="D7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7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7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7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8</v>
      </c>
      <c r="H7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7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7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7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7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7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7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7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7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7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7" s="49"/>
      <c r="S7" s="8"/>
      <c r="T7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7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24</v>
      </c>
      <c r="V7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450</v>
      </c>
      <c r="W7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7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7" s="8"/>
      <c r="Z7" s="8"/>
      <c r="AA7" s="55" t="s">
        <v>495</v>
      </c>
    </row>
    <row r="8" spans="1:27" x14ac:dyDescent="0.25">
      <c r="A8" s="81">
        <v>3100095</v>
      </c>
      <c r="B8" s="84" t="s">
        <v>397</v>
      </c>
      <c r="C8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8</v>
      </c>
      <c r="D8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8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8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8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8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8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8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8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8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8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8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6</v>
      </c>
      <c r="O8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8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8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8" s="49"/>
      <c r="S8" s="8"/>
      <c r="T8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-2</v>
      </c>
      <c r="U8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10</v>
      </c>
      <c r="V8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325</v>
      </c>
      <c r="W8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8</v>
      </c>
      <c r="X8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8" s="8"/>
      <c r="Z8" s="8"/>
      <c r="AA8" s="55" t="s">
        <v>496</v>
      </c>
    </row>
    <row r="9" spans="1:27" x14ac:dyDescent="0.25">
      <c r="A9" s="81">
        <v>3000084</v>
      </c>
      <c r="B9" s="84" t="s">
        <v>398</v>
      </c>
      <c r="C9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</v>
      </c>
      <c r="D9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9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9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9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9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9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9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</v>
      </c>
      <c r="K9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9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9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9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9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9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9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9" s="49"/>
      <c r="S9" s="8"/>
      <c r="T9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9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6</v>
      </c>
      <c r="V9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100</v>
      </c>
      <c r="W9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9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9" s="8"/>
      <c r="Z9" s="8"/>
      <c r="AA9" s="98" t="s">
        <v>564</v>
      </c>
    </row>
    <row r="10" spans="1:27" x14ac:dyDescent="0.25">
      <c r="A10" s="81">
        <v>3100082</v>
      </c>
      <c r="B10" s="84" t="s">
        <v>399</v>
      </c>
      <c r="C10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10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3</v>
      </c>
      <c r="E10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3</v>
      </c>
      <c r="F10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3</v>
      </c>
      <c r="G10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3</v>
      </c>
      <c r="H10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3</v>
      </c>
      <c r="I10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0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10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10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10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10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6</v>
      </c>
      <c r="O10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0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10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0" s="49"/>
      <c r="S10" s="8"/>
      <c r="T10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-1</v>
      </c>
      <c r="U10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10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350</v>
      </c>
      <c r="W10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6</v>
      </c>
      <c r="X10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0" s="8"/>
      <c r="Z10" s="8"/>
      <c r="AA10" s="98" t="s">
        <v>497</v>
      </c>
    </row>
    <row r="11" spans="1:27" x14ac:dyDescent="0.25">
      <c r="A11" s="81">
        <v>3000116</v>
      </c>
      <c r="B11" s="84" t="s">
        <v>400</v>
      </c>
      <c r="C11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</v>
      </c>
      <c r="D11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11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11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11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11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11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1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3</v>
      </c>
      <c r="K11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11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11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-7</v>
      </c>
      <c r="N11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11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1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11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1" s="49"/>
      <c r="S11" s="8"/>
      <c r="T11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3</v>
      </c>
      <c r="U11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11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175</v>
      </c>
      <c r="W11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11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1" s="8"/>
      <c r="Z11" s="8"/>
      <c r="AA11" s="98" t="s">
        <v>552</v>
      </c>
    </row>
    <row r="12" spans="1:27" x14ac:dyDescent="0.25">
      <c r="A12" s="81">
        <v>3100272</v>
      </c>
      <c r="B12" s="84" t="s">
        <v>401</v>
      </c>
      <c r="C12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10</v>
      </c>
      <c r="D12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3</v>
      </c>
      <c r="E12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3</v>
      </c>
      <c r="F12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12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12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12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2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12</v>
      </c>
      <c r="K12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12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12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6</v>
      </c>
      <c r="N12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-8</v>
      </c>
      <c r="O12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2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12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2" s="49"/>
      <c r="S12" s="8"/>
      <c r="T12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12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12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425</v>
      </c>
      <c r="W12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8</v>
      </c>
      <c r="X12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2" s="8"/>
      <c r="Z12" s="8"/>
      <c r="AA12" s="94" t="s">
        <v>543</v>
      </c>
    </row>
    <row r="13" spans="1:27" x14ac:dyDescent="0.25">
      <c r="A13" s="81">
        <v>3100452</v>
      </c>
      <c r="B13" s="84" t="s">
        <v>402</v>
      </c>
      <c r="C13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6</v>
      </c>
      <c r="D13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13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13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4</v>
      </c>
      <c r="G13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4</v>
      </c>
      <c r="H13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13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3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13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13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13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13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13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3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13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3" s="49"/>
      <c r="S13" s="8"/>
      <c r="T13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13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13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350</v>
      </c>
      <c r="W13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13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3" s="8" t="s">
        <v>284</v>
      </c>
      <c r="Z13" s="8"/>
      <c r="AA13" s="56" t="s">
        <v>498</v>
      </c>
    </row>
    <row r="14" spans="1:27" x14ac:dyDescent="0.25">
      <c r="A14" s="81">
        <v>3100042</v>
      </c>
      <c r="B14" s="84" t="s">
        <v>403</v>
      </c>
      <c r="C14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10</v>
      </c>
      <c r="D14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14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14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9</v>
      </c>
      <c r="G14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14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9</v>
      </c>
      <c r="I14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4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12</v>
      </c>
      <c r="K14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14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14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14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6</v>
      </c>
      <c r="O14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4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7</v>
      </c>
      <c r="Q14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4" s="49"/>
      <c r="S14" s="8"/>
      <c r="T14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-1</v>
      </c>
      <c r="U14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6</v>
      </c>
      <c r="V14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525</v>
      </c>
      <c r="W14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8</v>
      </c>
      <c r="X14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4" s="8"/>
      <c r="Z14" s="8"/>
      <c r="AA14" s="55" t="s">
        <v>499</v>
      </c>
    </row>
    <row r="15" spans="1:27" x14ac:dyDescent="0.25">
      <c r="A15" s="81">
        <v>3100402</v>
      </c>
      <c r="B15" s="84" t="s">
        <v>404</v>
      </c>
      <c r="C15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15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15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15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15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15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15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5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15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2</v>
      </c>
      <c r="L15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1</v>
      </c>
      <c r="M15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15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4</v>
      </c>
      <c r="O15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5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15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5" s="49"/>
      <c r="S15" s="8"/>
      <c r="T15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1</v>
      </c>
      <c r="U15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15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450</v>
      </c>
      <c r="W15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9</v>
      </c>
      <c r="X15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5" s="8"/>
      <c r="Z15" s="8"/>
      <c r="AA15" s="56" t="s">
        <v>500</v>
      </c>
    </row>
    <row r="16" spans="1:27" x14ac:dyDescent="0.25">
      <c r="A16" s="81">
        <v>3000162</v>
      </c>
      <c r="B16" s="84" t="s">
        <v>405</v>
      </c>
      <c r="C16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4</v>
      </c>
      <c r="D16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9</v>
      </c>
      <c r="E16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16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6</v>
      </c>
      <c r="G16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16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16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6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5</v>
      </c>
      <c r="K16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16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16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16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16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6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16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6" s="49"/>
      <c r="S16" s="8"/>
      <c r="T16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16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16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200</v>
      </c>
      <c r="W16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4</v>
      </c>
      <c r="X16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6" s="8"/>
      <c r="Z16" s="8"/>
      <c r="AA16" s="55" t="s">
        <v>501</v>
      </c>
    </row>
    <row r="17" spans="1:27" x14ac:dyDescent="0.25">
      <c r="A17" s="81">
        <v>3100092</v>
      </c>
      <c r="B17" s="84" t="s">
        <v>406</v>
      </c>
      <c r="C17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9</v>
      </c>
      <c r="D17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17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17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17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14</v>
      </c>
      <c r="H17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17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7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12</v>
      </c>
      <c r="K17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17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17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17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6</v>
      </c>
      <c r="O17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7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17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7" s="49" t="s">
        <v>291</v>
      </c>
      <c r="S17" s="8"/>
      <c r="T17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-2</v>
      </c>
      <c r="U17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14</v>
      </c>
      <c r="V17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525</v>
      </c>
      <c r="W17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9</v>
      </c>
      <c r="X17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7" s="8"/>
      <c r="Z17" s="8"/>
      <c r="AA17" s="98" t="s">
        <v>502</v>
      </c>
    </row>
    <row r="18" spans="1:27" x14ac:dyDescent="0.25">
      <c r="A18" s="81">
        <v>3000184</v>
      </c>
      <c r="B18" s="84" t="s">
        <v>407</v>
      </c>
      <c r="C18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</v>
      </c>
      <c r="D18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18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18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18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18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18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8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2</v>
      </c>
      <c r="K18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18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18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-18</v>
      </c>
      <c r="N18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18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8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18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8" s="49"/>
      <c r="S18" s="8"/>
      <c r="T18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3</v>
      </c>
      <c r="U18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18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175</v>
      </c>
      <c r="W18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18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8" s="8"/>
      <c r="Z18" s="8"/>
      <c r="AA18" s="98" t="s">
        <v>544</v>
      </c>
    </row>
    <row r="19" spans="1:27" x14ac:dyDescent="0.25">
      <c r="A19" s="81">
        <v>3000117</v>
      </c>
      <c r="B19" s="84" t="s">
        <v>408</v>
      </c>
      <c r="C19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</v>
      </c>
      <c r="D19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19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19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19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19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19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19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3</v>
      </c>
      <c r="K19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19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19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-7</v>
      </c>
      <c r="N19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19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19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19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19" s="49"/>
      <c r="S19" s="8"/>
      <c r="T19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3</v>
      </c>
      <c r="U19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19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175</v>
      </c>
      <c r="W19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19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19" s="8"/>
      <c r="Z19" s="8"/>
      <c r="AA19" s="98" t="s">
        <v>552</v>
      </c>
    </row>
    <row r="20" spans="1:27" ht="14.45" customHeight="1" x14ac:dyDescent="0.25">
      <c r="A20" s="52">
        <v>3000205</v>
      </c>
      <c r="B20" s="57" t="s">
        <v>409</v>
      </c>
      <c r="C20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4</v>
      </c>
      <c r="D20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0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20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20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0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20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0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4</v>
      </c>
      <c r="K20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20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0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20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-4</v>
      </c>
      <c r="O20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0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0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0" s="49"/>
      <c r="S20" s="8"/>
      <c r="T20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4</v>
      </c>
      <c r="U20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20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175</v>
      </c>
      <c r="W20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2</v>
      </c>
      <c r="X20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0" s="8"/>
      <c r="Z20" s="8"/>
      <c r="AA20" s="98" t="s">
        <v>94</v>
      </c>
    </row>
    <row r="21" spans="1:27" x14ac:dyDescent="0.25">
      <c r="A21" s="52">
        <v>3100002</v>
      </c>
      <c r="B21" s="57" t="s">
        <v>410</v>
      </c>
      <c r="C21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9</v>
      </c>
      <c r="D21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1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21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21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1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21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1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11</v>
      </c>
      <c r="K21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21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1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21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6</v>
      </c>
      <c r="O21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1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1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1" s="49"/>
      <c r="S21" s="8"/>
      <c r="T21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-1</v>
      </c>
      <c r="U21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21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425</v>
      </c>
      <c r="W21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9</v>
      </c>
      <c r="X21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1" s="8"/>
      <c r="Z21" s="8"/>
      <c r="AA21" s="57" t="s">
        <v>503</v>
      </c>
    </row>
    <row r="22" spans="1:27" x14ac:dyDescent="0.25">
      <c r="A22" s="52">
        <v>3000118</v>
      </c>
      <c r="B22" s="57" t="s">
        <v>411</v>
      </c>
      <c r="C22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22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2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9</v>
      </c>
      <c r="F22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9</v>
      </c>
      <c r="G22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2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22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2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9</v>
      </c>
      <c r="K22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22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2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-5</v>
      </c>
      <c r="N22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-6</v>
      </c>
      <c r="O22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2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2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2" s="49"/>
      <c r="S22" s="8"/>
      <c r="T22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3</v>
      </c>
      <c r="U22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22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250</v>
      </c>
      <c r="W22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2</v>
      </c>
      <c r="X22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2" s="8"/>
      <c r="Z22" s="8"/>
      <c r="AA22" s="57" t="s">
        <v>504</v>
      </c>
    </row>
    <row r="23" spans="1:27" x14ac:dyDescent="0.25">
      <c r="A23" s="52">
        <v>3000242</v>
      </c>
      <c r="B23" s="57" t="s">
        <v>412</v>
      </c>
      <c r="C23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4</v>
      </c>
      <c r="D23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3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23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23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6</v>
      </c>
      <c r="H23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23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3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5</v>
      </c>
      <c r="K23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23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3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23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23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3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3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3" s="49"/>
      <c r="S23" s="8"/>
      <c r="T23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23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20</v>
      </c>
      <c r="V23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175</v>
      </c>
      <c r="W23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23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3" s="8"/>
      <c r="Z23" s="8"/>
      <c r="AA23" s="57" t="s">
        <v>505</v>
      </c>
    </row>
    <row r="24" spans="1:27" x14ac:dyDescent="0.25">
      <c r="A24" s="52">
        <v>3000212</v>
      </c>
      <c r="B24" s="84" t="s">
        <v>413</v>
      </c>
      <c r="C24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4</v>
      </c>
      <c r="D24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4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24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14</v>
      </c>
      <c r="G24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4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6</v>
      </c>
      <c r="I24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4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5</v>
      </c>
      <c r="K24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24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4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24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24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4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4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4" s="49"/>
      <c r="S24" s="8"/>
      <c r="T24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24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24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375</v>
      </c>
      <c r="W24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2</v>
      </c>
      <c r="X24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4" s="8"/>
      <c r="Z24" s="8"/>
      <c r="AA24" s="57" t="s">
        <v>506</v>
      </c>
    </row>
    <row r="25" spans="1:27" x14ac:dyDescent="0.25">
      <c r="A25" s="52">
        <v>3000312</v>
      </c>
      <c r="B25" s="57" t="s">
        <v>414</v>
      </c>
      <c r="C25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6</v>
      </c>
      <c r="D25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9</v>
      </c>
      <c r="E25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25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6</v>
      </c>
      <c r="G25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5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25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5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8</v>
      </c>
      <c r="K25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25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5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25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25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5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5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5" s="49"/>
      <c r="S25" s="8"/>
      <c r="T25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25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25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375</v>
      </c>
      <c r="W25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4</v>
      </c>
      <c r="X25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5" s="8"/>
      <c r="Z25" s="8"/>
      <c r="AA25" s="98" t="s">
        <v>507</v>
      </c>
    </row>
    <row r="26" spans="1:27" x14ac:dyDescent="0.25">
      <c r="A26" s="52">
        <v>3100008</v>
      </c>
      <c r="B26" s="57" t="s">
        <v>415</v>
      </c>
      <c r="C26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26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6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26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26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6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26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6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6</v>
      </c>
      <c r="K26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26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6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2</v>
      </c>
      <c r="N26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26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6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6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6" s="49"/>
      <c r="S26" s="8"/>
      <c r="T26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26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26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225</v>
      </c>
      <c r="W26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26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6" s="8"/>
      <c r="Z26" s="8"/>
      <c r="AA26" s="57" t="s">
        <v>508</v>
      </c>
    </row>
    <row r="27" spans="1:27" x14ac:dyDescent="0.25">
      <c r="A27" s="52">
        <v>3100232</v>
      </c>
      <c r="B27" s="84" t="s">
        <v>416</v>
      </c>
      <c r="C27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10</v>
      </c>
      <c r="D27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7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27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-2</v>
      </c>
      <c r="G27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7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27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7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12</v>
      </c>
      <c r="K27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27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7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27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6</v>
      </c>
      <c r="O27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7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-5</v>
      </c>
      <c r="Q27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7" s="49" t="s">
        <v>167</v>
      </c>
      <c r="S27" s="8"/>
      <c r="T27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27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27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425</v>
      </c>
      <c r="W27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8</v>
      </c>
      <c r="X27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7" s="8"/>
      <c r="Z27" s="8"/>
      <c r="AA27" s="57" t="s">
        <v>509</v>
      </c>
    </row>
    <row r="28" spans="1:27" x14ac:dyDescent="0.25">
      <c r="A28" s="52">
        <v>3000046</v>
      </c>
      <c r="B28" s="57" t="s">
        <v>417</v>
      </c>
      <c r="C28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4</v>
      </c>
      <c r="D28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8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6</v>
      </c>
      <c r="F28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-6</v>
      </c>
      <c r="G28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8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28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8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3</v>
      </c>
      <c r="K28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28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8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28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28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8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8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8" s="49"/>
      <c r="S28" s="8"/>
      <c r="T28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28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28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175</v>
      </c>
      <c r="W28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28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8" s="8"/>
      <c r="Z28" s="8"/>
      <c r="AA28" s="57" t="s">
        <v>546</v>
      </c>
    </row>
    <row r="29" spans="1:27" x14ac:dyDescent="0.25">
      <c r="A29" s="52">
        <v>3000043</v>
      </c>
      <c r="B29" s="57" t="s">
        <v>418</v>
      </c>
      <c r="C29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29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29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29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29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29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29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29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5</v>
      </c>
      <c r="K29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29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29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29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29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29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29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29" s="49" t="s">
        <v>167</v>
      </c>
      <c r="S29" s="8"/>
      <c r="T29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29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29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300</v>
      </c>
      <c r="W29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2</v>
      </c>
      <c r="X29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29" s="8"/>
      <c r="Z29" s="8"/>
      <c r="AA29" s="57" t="s">
        <v>547</v>
      </c>
    </row>
    <row r="30" spans="1:27" x14ac:dyDescent="0.25">
      <c r="A30" s="52">
        <v>3100114</v>
      </c>
      <c r="B30" s="84" t="s">
        <v>419</v>
      </c>
      <c r="C30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6</v>
      </c>
      <c r="D30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0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0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0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0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0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0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7</v>
      </c>
      <c r="K30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30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0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-9</v>
      </c>
      <c r="N30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30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0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0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0" s="49"/>
      <c r="S30" s="8"/>
      <c r="T30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30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30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225</v>
      </c>
      <c r="W30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4</v>
      </c>
      <c r="X30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0" s="8"/>
      <c r="Z30" s="8"/>
      <c r="AA30" s="57" t="s">
        <v>510</v>
      </c>
    </row>
    <row r="31" spans="1:27" x14ac:dyDescent="0.25">
      <c r="A31" s="52">
        <v>3100242</v>
      </c>
      <c r="B31" s="57" t="s">
        <v>420</v>
      </c>
      <c r="C31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31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1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1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1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1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1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1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7</v>
      </c>
      <c r="K31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31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1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31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31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1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1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1" s="49"/>
      <c r="S31" s="8"/>
      <c r="T31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31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5</v>
      </c>
      <c r="V31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250</v>
      </c>
      <c r="W31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31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1" s="8"/>
      <c r="Z31" s="8"/>
      <c r="AA31" s="98" t="s">
        <v>511</v>
      </c>
    </row>
    <row r="32" spans="1:27" x14ac:dyDescent="0.25">
      <c r="A32" s="52">
        <v>3100072</v>
      </c>
      <c r="B32" s="57" t="s">
        <v>421</v>
      </c>
      <c r="C32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9</v>
      </c>
      <c r="D32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2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2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2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2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2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2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16</v>
      </c>
      <c r="K32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32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2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32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12</v>
      </c>
      <c r="O32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2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2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2" s="49"/>
      <c r="S32" s="8"/>
      <c r="T32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-1</v>
      </c>
      <c r="U32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32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400</v>
      </c>
      <c r="W32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9</v>
      </c>
      <c r="X32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2" s="8"/>
      <c r="Z32" s="8"/>
      <c r="AA32" s="57" t="s">
        <v>512</v>
      </c>
    </row>
    <row r="33" spans="1:27" x14ac:dyDescent="0.25">
      <c r="A33" s="52">
        <v>3100472</v>
      </c>
      <c r="B33" s="84" t="s">
        <v>422</v>
      </c>
      <c r="C33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9</v>
      </c>
      <c r="D33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4</v>
      </c>
      <c r="E33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3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3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3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4</v>
      </c>
      <c r="I33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3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7</v>
      </c>
      <c r="K33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33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3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33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33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3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3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3" s="49" t="s">
        <v>268</v>
      </c>
      <c r="S33" s="8"/>
      <c r="T33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33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33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300</v>
      </c>
      <c r="W33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33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3" s="8" t="s">
        <v>423</v>
      </c>
      <c r="Z33" s="8"/>
      <c r="AA33" s="57" t="s">
        <v>513</v>
      </c>
    </row>
    <row r="34" spans="1:27" x14ac:dyDescent="0.25">
      <c r="A34" s="52">
        <v>3000282</v>
      </c>
      <c r="B34" s="57" t="s">
        <v>424</v>
      </c>
      <c r="C34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2</v>
      </c>
      <c r="D34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4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4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4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4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4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4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5</v>
      </c>
      <c r="K34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34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4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34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34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4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4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4" s="49"/>
      <c r="S34" s="8"/>
      <c r="T34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34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10</v>
      </c>
      <c r="V34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125</v>
      </c>
      <c r="W34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34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4" s="8"/>
      <c r="Z34" s="8"/>
      <c r="AA34" s="57" t="s">
        <v>549</v>
      </c>
    </row>
    <row r="35" spans="1:27" x14ac:dyDescent="0.25">
      <c r="A35" s="52">
        <v>3100447</v>
      </c>
      <c r="B35" s="57" t="s">
        <v>425</v>
      </c>
      <c r="C35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35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5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5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5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5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5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5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8</v>
      </c>
      <c r="K35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2</v>
      </c>
      <c r="L35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2</v>
      </c>
      <c r="M35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35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-8</v>
      </c>
      <c r="O35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5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5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5" s="49" t="s">
        <v>151</v>
      </c>
      <c r="S35" s="8"/>
      <c r="T35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1</v>
      </c>
      <c r="U35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35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600</v>
      </c>
      <c r="W35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35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5" s="8"/>
      <c r="Z35" s="8"/>
      <c r="AA35" s="57" t="s">
        <v>515</v>
      </c>
    </row>
    <row r="36" spans="1:27" ht="14.45" customHeight="1" x14ac:dyDescent="0.25">
      <c r="A36" s="52">
        <v>3000322</v>
      </c>
      <c r="B36" s="57" t="s">
        <v>426</v>
      </c>
      <c r="C36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8</v>
      </c>
      <c r="D36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6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6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6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6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6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6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36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36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6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-4</v>
      </c>
      <c r="N36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-6</v>
      </c>
      <c r="O36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6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6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6" s="49"/>
      <c r="S36" s="8"/>
      <c r="T36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3</v>
      </c>
      <c r="U36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36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325</v>
      </c>
      <c r="W36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36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6" s="8"/>
      <c r="Z36" s="8"/>
      <c r="AA36" s="57" t="s">
        <v>550</v>
      </c>
    </row>
    <row r="37" spans="1:27" x14ac:dyDescent="0.25">
      <c r="A37" s="52">
        <v>3100192</v>
      </c>
      <c r="B37" s="57" t="s">
        <v>427</v>
      </c>
      <c r="C37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37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7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3</v>
      </c>
      <c r="F37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7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7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7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7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37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37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7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-9</v>
      </c>
      <c r="N37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37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7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7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7" s="49"/>
      <c r="S37" s="8"/>
      <c r="T37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37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37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350</v>
      </c>
      <c r="W37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37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7" s="8"/>
      <c r="Z37" s="8"/>
      <c r="AA37" s="57" t="s">
        <v>516</v>
      </c>
    </row>
    <row r="38" spans="1:27" x14ac:dyDescent="0.25">
      <c r="A38" s="52">
        <v>3000232</v>
      </c>
      <c r="B38" s="57" t="s">
        <v>428</v>
      </c>
      <c r="C38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4</v>
      </c>
      <c r="D38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8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8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8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8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8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8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4</v>
      </c>
      <c r="K38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38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8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-10</v>
      </c>
      <c r="N38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-10</v>
      </c>
      <c r="O38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8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8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8" s="49"/>
      <c r="S38" s="8"/>
      <c r="T38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38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10</v>
      </c>
      <c r="V38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250</v>
      </c>
      <c r="W38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38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8" s="8"/>
      <c r="Z38" s="8"/>
      <c r="AA38" s="57" t="s">
        <v>541</v>
      </c>
    </row>
    <row r="39" spans="1:27" x14ac:dyDescent="0.25">
      <c r="A39" s="52">
        <v>3200032</v>
      </c>
      <c r="B39" s="84" t="s">
        <v>429</v>
      </c>
      <c r="C39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0</v>
      </c>
      <c r="D39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39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39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39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39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39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39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0</v>
      </c>
      <c r="K39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39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39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39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39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39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39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39" s="49"/>
      <c r="S39" s="8"/>
      <c r="T39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39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39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0</v>
      </c>
      <c r="W39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0</v>
      </c>
      <c r="X39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39" s="8"/>
      <c r="Z39" s="8"/>
      <c r="AA39" s="57" t="s">
        <v>551</v>
      </c>
    </row>
    <row r="40" spans="1:27" x14ac:dyDescent="0.25">
      <c r="A40" s="52">
        <v>3100462</v>
      </c>
      <c r="B40" s="57" t="s">
        <v>430</v>
      </c>
      <c r="C40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40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0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40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0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0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40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0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8</v>
      </c>
      <c r="K40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40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0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2</v>
      </c>
      <c r="N40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40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0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0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0" s="49"/>
      <c r="S40" s="8"/>
      <c r="T40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40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40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300</v>
      </c>
      <c r="W40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40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40" s="8" t="s">
        <v>431</v>
      </c>
      <c r="Z40" s="8"/>
      <c r="AA40" s="57" t="s">
        <v>517</v>
      </c>
    </row>
    <row r="41" spans="1:27" x14ac:dyDescent="0.25">
      <c r="A41" s="52">
        <v>3100422</v>
      </c>
      <c r="B41" s="57" t="s">
        <v>432</v>
      </c>
      <c r="C41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2</v>
      </c>
      <c r="D41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1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41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1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1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41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1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6</v>
      </c>
      <c r="K41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41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1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41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41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1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1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1" s="49"/>
      <c r="S41" s="8"/>
      <c r="T41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1</v>
      </c>
      <c r="U41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41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125</v>
      </c>
      <c r="W41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41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10</v>
      </c>
      <c r="Y41" s="8" t="s">
        <v>433</v>
      </c>
      <c r="Z41" s="8"/>
      <c r="AA41" s="96" t="s">
        <v>518</v>
      </c>
    </row>
    <row r="42" spans="1:27" x14ac:dyDescent="0.25">
      <c r="A42" s="52">
        <v>3100432</v>
      </c>
      <c r="B42" s="57" t="s">
        <v>434</v>
      </c>
      <c r="C42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3</v>
      </c>
      <c r="D42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8</v>
      </c>
      <c r="E42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6</v>
      </c>
      <c r="F42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2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2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6</v>
      </c>
      <c r="I42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2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3</v>
      </c>
      <c r="K42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42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2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42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-6</v>
      </c>
      <c r="O42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2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2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2" s="49"/>
      <c r="S42" s="8"/>
      <c r="T42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42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42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250</v>
      </c>
      <c r="W42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42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180</v>
      </c>
      <c r="Y42" s="8"/>
      <c r="Z42" s="8"/>
      <c r="AA42" s="57" t="s">
        <v>219</v>
      </c>
    </row>
    <row r="43" spans="1:27" x14ac:dyDescent="0.25">
      <c r="A43" s="52">
        <v>3100182</v>
      </c>
      <c r="B43" s="57" t="s">
        <v>435</v>
      </c>
      <c r="C43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9</v>
      </c>
      <c r="D43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3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43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3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3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43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3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43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43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3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4</v>
      </c>
      <c r="N43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6</v>
      </c>
      <c r="O43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3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3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3" s="49"/>
      <c r="S43" s="8"/>
      <c r="T43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-2</v>
      </c>
      <c r="U43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18</v>
      </c>
      <c r="V43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425</v>
      </c>
      <c r="W43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8</v>
      </c>
      <c r="X43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43" s="8"/>
      <c r="Z43" s="8"/>
      <c r="AA43" s="57" t="s">
        <v>519</v>
      </c>
    </row>
    <row r="44" spans="1:27" x14ac:dyDescent="0.25">
      <c r="A44" s="52">
        <v>3000012</v>
      </c>
      <c r="B44" s="57" t="s">
        <v>436</v>
      </c>
      <c r="C44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3</v>
      </c>
      <c r="D44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4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44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4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4</v>
      </c>
      <c r="H44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44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4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8</v>
      </c>
      <c r="K44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44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4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44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44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4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4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4" s="49"/>
      <c r="S44" s="8"/>
      <c r="T44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44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10</v>
      </c>
      <c r="V44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150</v>
      </c>
      <c r="W44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44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44" s="8"/>
      <c r="Z44" s="8"/>
      <c r="AA44" s="57" t="s">
        <v>520</v>
      </c>
    </row>
    <row r="45" spans="1:27" x14ac:dyDescent="0.25">
      <c r="A45" s="52">
        <v>3100062</v>
      </c>
      <c r="B45" s="57" t="s">
        <v>437</v>
      </c>
      <c r="C45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9</v>
      </c>
      <c r="D45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5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9</v>
      </c>
      <c r="F45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5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5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45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5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11</v>
      </c>
      <c r="K45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45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5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3</v>
      </c>
      <c r="N45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4</v>
      </c>
      <c r="O45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5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5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5" s="49"/>
      <c r="S45" s="8"/>
      <c r="T45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-1</v>
      </c>
      <c r="U45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45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475</v>
      </c>
      <c r="W45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10</v>
      </c>
      <c r="X45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45" s="8"/>
      <c r="Z45" s="8"/>
      <c r="AA45" s="57" t="s">
        <v>521</v>
      </c>
    </row>
    <row r="46" spans="1:27" x14ac:dyDescent="0.25">
      <c r="A46" s="52">
        <v>3000226</v>
      </c>
      <c r="B46" s="57" t="s">
        <v>438</v>
      </c>
      <c r="C46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46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6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7</v>
      </c>
      <c r="F46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6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6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46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6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7</v>
      </c>
      <c r="K46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46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6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2</v>
      </c>
      <c r="N46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46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6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6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6" s="49"/>
      <c r="S46" s="8"/>
      <c r="T46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46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12</v>
      </c>
      <c r="V46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375</v>
      </c>
      <c r="W46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46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46" s="8"/>
      <c r="Z46" s="8"/>
      <c r="AA46" s="57" t="s">
        <v>522</v>
      </c>
    </row>
    <row r="47" spans="1:27" x14ac:dyDescent="0.25">
      <c r="A47" s="52">
        <v>3100022</v>
      </c>
      <c r="B47" s="57" t="s">
        <v>439</v>
      </c>
      <c r="C47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6</v>
      </c>
      <c r="D47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7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47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7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7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9</v>
      </c>
      <c r="I47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7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47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47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7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2</v>
      </c>
      <c r="N47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47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7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7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7" s="49"/>
      <c r="S47" s="8"/>
      <c r="T47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47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47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225</v>
      </c>
      <c r="W47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4</v>
      </c>
      <c r="X47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47" s="8"/>
      <c r="Z47" s="8"/>
      <c r="AA47" s="57" t="s">
        <v>523</v>
      </c>
    </row>
    <row r="48" spans="1:27" x14ac:dyDescent="0.25">
      <c r="A48" s="52">
        <v>3100162</v>
      </c>
      <c r="B48" s="57" t="s">
        <v>440</v>
      </c>
      <c r="C48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10</v>
      </c>
      <c r="D48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8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48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8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8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48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8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10</v>
      </c>
      <c r="K48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48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8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48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48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8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8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8" s="49"/>
      <c r="S48" s="8"/>
      <c r="T48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3</v>
      </c>
      <c r="U48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13</v>
      </c>
      <c r="V48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400</v>
      </c>
      <c r="W48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7</v>
      </c>
      <c r="X48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48" s="8"/>
      <c r="Z48" s="8"/>
      <c r="AA48" s="57" t="s">
        <v>524</v>
      </c>
    </row>
    <row r="49" spans="1:27" x14ac:dyDescent="0.25">
      <c r="A49" s="52">
        <v>3100002</v>
      </c>
      <c r="B49" s="57" t="s">
        <v>441</v>
      </c>
      <c r="C49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49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49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49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49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49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49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49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9</v>
      </c>
      <c r="K49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49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49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49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6</v>
      </c>
      <c r="O49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49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49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49" s="49"/>
      <c r="S49" s="8"/>
      <c r="T49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-1</v>
      </c>
      <c r="U49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49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300</v>
      </c>
      <c r="W49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8</v>
      </c>
      <c r="X49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49" s="8"/>
      <c r="Z49" s="8"/>
      <c r="AA49" s="57" t="s">
        <v>525</v>
      </c>
    </row>
    <row r="50" spans="1:27" ht="14.45" customHeight="1" x14ac:dyDescent="0.25">
      <c r="A50" s="52">
        <v>3100122</v>
      </c>
      <c r="B50" s="57" t="s">
        <v>442</v>
      </c>
      <c r="C50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50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0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50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0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0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0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0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11</v>
      </c>
      <c r="K50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50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1</v>
      </c>
      <c r="M50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10</v>
      </c>
      <c r="N50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6</v>
      </c>
      <c r="O50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0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0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0" s="49"/>
      <c r="S50" s="8"/>
      <c r="T50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-1</v>
      </c>
      <c r="U50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50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375</v>
      </c>
      <c r="W50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8</v>
      </c>
      <c r="X50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0" s="8"/>
      <c r="Z50" s="8"/>
      <c r="AA50" s="57" t="s">
        <v>526</v>
      </c>
    </row>
    <row r="51" spans="1:27" ht="30" x14ac:dyDescent="0.25">
      <c r="A51" s="52">
        <v>3000362</v>
      </c>
      <c r="B51" s="57" t="s">
        <v>443</v>
      </c>
      <c r="C51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8</v>
      </c>
      <c r="D51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1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51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1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1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1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1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9</v>
      </c>
      <c r="K51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51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1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2</v>
      </c>
      <c r="N51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51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1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1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1" s="49" t="s">
        <v>486</v>
      </c>
      <c r="S51" s="8"/>
      <c r="T51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51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51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325</v>
      </c>
      <c r="W51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51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1" s="8"/>
      <c r="Z51" s="8"/>
      <c r="AA51" s="57" t="s">
        <v>527</v>
      </c>
    </row>
    <row r="52" spans="1:27" x14ac:dyDescent="0.25">
      <c r="A52" s="52">
        <v>3000174</v>
      </c>
      <c r="B52" s="57" t="s">
        <v>444</v>
      </c>
      <c r="C52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</v>
      </c>
      <c r="D52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2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52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2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2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2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2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</v>
      </c>
      <c r="K52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52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2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52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52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2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2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2" s="49"/>
      <c r="S52" s="8"/>
      <c r="T52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52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52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100</v>
      </c>
      <c r="W52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52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2" s="8"/>
      <c r="Z52" s="8"/>
      <c r="AA52" s="57" t="s">
        <v>548</v>
      </c>
    </row>
    <row r="53" spans="1:27" x14ac:dyDescent="0.25">
      <c r="A53" s="52">
        <v>3000292</v>
      </c>
      <c r="B53" s="57" t="s">
        <v>445</v>
      </c>
      <c r="C53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53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3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3</v>
      </c>
      <c r="F53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3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3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3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3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9</v>
      </c>
      <c r="K53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53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3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53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53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3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3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3" s="49" t="s">
        <v>210</v>
      </c>
      <c r="S53" s="8"/>
      <c r="T53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53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53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200</v>
      </c>
      <c r="W53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4</v>
      </c>
      <c r="X53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3" s="8"/>
      <c r="Z53" s="8"/>
      <c r="AA53" s="57" t="s">
        <v>557</v>
      </c>
    </row>
    <row r="54" spans="1:27" ht="30" x14ac:dyDescent="0.25">
      <c r="A54" s="52">
        <v>3100482</v>
      </c>
      <c r="B54" s="57" t="s">
        <v>446</v>
      </c>
      <c r="C54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3</v>
      </c>
      <c r="D54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4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54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4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4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4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4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3</v>
      </c>
      <c r="K54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54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4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54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54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4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4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4" s="49" t="s">
        <v>481</v>
      </c>
      <c r="S54" s="8"/>
      <c r="T54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54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54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275</v>
      </c>
      <c r="W54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54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4" s="8" t="s">
        <v>360</v>
      </c>
      <c r="Z54" s="8"/>
      <c r="AA54" s="57" t="s">
        <v>555</v>
      </c>
    </row>
    <row r="55" spans="1:27" x14ac:dyDescent="0.25">
      <c r="A55" s="52">
        <v>3000034</v>
      </c>
      <c r="B55" s="57" t="s">
        <v>447</v>
      </c>
      <c r="C55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3</v>
      </c>
      <c r="D55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5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55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5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5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5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5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4</v>
      </c>
      <c r="K55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55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5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55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55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5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5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5" s="49"/>
      <c r="S55" s="8"/>
      <c r="T55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55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6</v>
      </c>
      <c r="V55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150</v>
      </c>
      <c r="W55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55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5" s="8"/>
      <c r="Z55" s="8"/>
      <c r="AA55" s="57" t="s">
        <v>561</v>
      </c>
    </row>
    <row r="56" spans="1:27" x14ac:dyDescent="0.25">
      <c r="A56" s="52">
        <v>3000192</v>
      </c>
      <c r="B56" s="57" t="s">
        <v>448</v>
      </c>
      <c r="C56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3</v>
      </c>
      <c r="D56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6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56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6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6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6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6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3</v>
      </c>
      <c r="K56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56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6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56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56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6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6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6" s="49"/>
      <c r="S56" s="8"/>
      <c r="T56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1</v>
      </c>
      <c r="U56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5</v>
      </c>
      <c r="V56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175</v>
      </c>
      <c r="W56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56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6" s="8"/>
      <c r="Z56" s="8"/>
      <c r="AA56" s="57" t="s">
        <v>558</v>
      </c>
    </row>
    <row r="57" spans="1:27" x14ac:dyDescent="0.25">
      <c r="A57" s="52">
        <v>3100245</v>
      </c>
      <c r="B57" s="57" t="s">
        <v>449</v>
      </c>
      <c r="C57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57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7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57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7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7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7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7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8</v>
      </c>
      <c r="K57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57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7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57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57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7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7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7" s="49"/>
      <c r="S57" s="8"/>
      <c r="T57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57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6</v>
      </c>
      <c r="V57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300</v>
      </c>
      <c r="W57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57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7" s="8"/>
      <c r="Z57" s="8"/>
      <c r="AA57" s="98" t="s">
        <v>528</v>
      </c>
    </row>
    <row r="58" spans="1:27" x14ac:dyDescent="0.25">
      <c r="A58" s="52">
        <v>3100172</v>
      </c>
      <c r="B58" s="57" t="s">
        <v>450</v>
      </c>
      <c r="C58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58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8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58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14</v>
      </c>
      <c r="G58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8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8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8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14</v>
      </c>
      <c r="K58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58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8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4</v>
      </c>
      <c r="N58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58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8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8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8" s="49"/>
      <c r="S58" s="8"/>
      <c r="T58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58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58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500</v>
      </c>
      <c r="W58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58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8" s="8" t="s">
        <v>245</v>
      </c>
      <c r="Z58" s="8"/>
      <c r="AA58" s="57" t="s">
        <v>529</v>
      </c>
    </row>
    <row r="59" spans="1:27" x14ac:dyDescent="0.25">
      <c r="A59" s="52">
        <v>3100102</v>
      </c>
      <c r="B59" s="57" t="s">
        <v>451</v>
      </c>
      <c r="C59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59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59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9</v>
      </c>
      <c r="F59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59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59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59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59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7</v>
      </c>
      <c r="K59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59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59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2</v>
      </c>
      <c r="N59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59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59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59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59" s="49"/>
      <c r="S59" s="8"/>
      <c r="T59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59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59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250</v>
      </c>
      <c r="W59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59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59" s="8"/>
      <c r="Z59" s="8"/>
      <c r="AA59" s="57" t="s">
        <v>530</v>
      </c>
    </row>
    <row r="60" spans="1:27" x14ac:dyDescent="0.25">
      <c r="A60" s="52">
        <v>3000004</v>
      </c>
      <c r="B60" s="57" t="s">
        <v>452</v>
      </c>
      <c r="C60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0</v>
      </c>
      <c r="D60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0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0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60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60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60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0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0</v>
      </c>
      <c r="K60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60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0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60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60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0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0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0" s="49"/>
      <c r="S60" s="8"/>
      <c r="T60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60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60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0</v>
      </c>
      <c r="W60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0</v>
      </c>
      <c r="X60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0" s="8"/>
      <c r="Z60" s="8"/>
      <c r="AA60" s="7" t="s">
        <v>567</v>
      </c>
    </row>
    <row r="61" spans="1:27" x14ac:dyDescent="0.25">
      <c r="A61" s="52">
        <v>3100412</v>
      </c>
      <c r="B61" s="57" t="s">
        <v>453</v>
      </c>
      <c r="C61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8</v>
      </c>
      <c r="D61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1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1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2</v>
      </c>
      <c r="G61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2</v>
      </c>
      <c r="H61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2</v>
      </c>
      <c r="I61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1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6</v>
      </c>
      <c r="K61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61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1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61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61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1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1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1" s="49" t="s">
        <v>210</v>
      </c>
      <c r="S61" s="8"/>
      <c r="T61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61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8</v>
      </c>
      <c r="V61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250</v>
      </c>
      <c r="W61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61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1" s="8" t="s">
        <v>369</v>
      </c>
      <c r="Z61" s="8"/>
      <c r="AA61" s="57" t="s">
        <v>531</v>
      </c>
    </row>
    <row r="62" spans="1:27" x14ac:dyDescent="0.25">
      <c r="A62" s="52">
        <v>3100152</v>
      </c>
      <c r="B62" s="57" t="s">
        <v>454</v>
      </c>
      <c r="C62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6</v>
      </c>
      <c r="D62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2</v>
      </c>
      <c r="E62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2</v>
      </c>
      <c r="F62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2</v>
      </c>
      <c r="G62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2</v>
      </c>
      <c r="H62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2</v>
      </c>
      <c r="I62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2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9</v>
      </c>
      <c r="K62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62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2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-15</v>
      </c>
      <c r="N62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-6</v>
      </c>
      <c r="O62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2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2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2" s="49"/>
      <c r="S62" s="8"/>
      <c r="T62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1</v>
      </c>
      <c r="U62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3</v>
      </c>
      <c r="V62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475</v>
      </c>
      <c r="W62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3</v>
      </c>
      <c r="X62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2" s="8"/>
      <c r="Z62" s="8"/>
      <c r="AA62" s="57" t="s">
        <v>559</v>
      </c>
    </row>
    <row r="63" spans="1:27" x14ac:dyDescent="0.25">
      <c r="A63" s="52">
        <v>3000136</v>
      </c>
      <c r="B63" s="57" t="s">
        <v>455</v>
      </c>
      <c r="C63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</v>
      </c>
      <c r="D63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3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3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63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63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63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3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</v>
      </c>
      <c r="K63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63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3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63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63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3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3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3" s="49"/>
      <c r="S63" s="8"/>
      <c r="T63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63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2</v>
      </c>
      <c r="V63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100</v>
      </c>
      <c r="W63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63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3" s="8"/>
      <c r="Z63" s="8"/>
      <c r="AA63" s="57" t="s">
        <v>560</v>
      </c>
    </row>
    <row r="64" spans="1:27" ht="30" x14ac:dyDescent="0.25">
      <c r="A64" s="52">
        <v>3000142</v>
      </c>
      <c r="B64" s="57" t="s">
        <v>456</v>
      </c>
      <c r="C64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5</v>
      </c>
      <c r="D64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4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4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4</v>
      </c>
      <c r="G64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4</v>
      </c>
      <c r="H64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4</v>
      </c>
      <c r="I64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4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6</v>
      </c>
      <c r="K64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64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4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64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64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4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4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4" s="49" t="s">
        <v>487</v>
      </c>
      <c r="S64" s="8"/>
      <c r="T64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64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10</v>
      </c>
      <c r="V64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250</v>
      </c>
      <c r="W64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2</v>
      </c>
      <c r="X64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4" s="8"/>
      <c r="Z64" s="8"/>
      <c r="AA64" s="57" t="s">
        <v>532</v>
      </c>
    </row>
    <row r="65" spans="1:27" x14ac:dyDescent="0.25">
      <c r="A65" s="52">
        <v>3000002</v>
      </c>
      <c r="B65" s="57" t="s">
        <v>457</v>
      </c>
      <c r="C65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2</v>
      </c>
      <c r="D65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5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5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65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65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65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5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2</v>
      </c>
      <c r="K65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65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5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65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65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5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5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5" s="49"/>
      <c r="S65" s="8"/>
      <c r="T65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1</v>
      </c>
      <c r="U65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5</v>
      </c>
      <c r="V65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200</v>
      </c>
      <c r="W65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65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5" s="8"/>
      <c r="Z65" s="8"/>
      <c r="AA65" s="57" t="s">
        <v>542</v>
      </c>
    </row>
    <row r="66" spans="1:27" x14ac:dyDescent="0.25">
      <c r="A66" s="52">
        <v>3100142</v>
      </c>
      <c r="B66" s="57" t="s">
        <v>458</v>
      </c>
      <c r="C66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10</v>
      </c>
      <c r="D66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6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6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66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66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12</v>
      </c>
      <c r="I66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6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12</v>
      </c>
      <c r="K66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2</v>
      </c>
      <c r="L66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6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66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12</v>
      </c>
      <c r="O66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6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6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6" s="49"/>
      <c r="S66" s="8"/>
      <c r="T66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66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66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0</v>
      </c>
      <c r="W66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11</v>
      </c>
      <c r="X66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6" s="8"/>
      <c r="Z66" s="8"/>
      <c r="AA66" s="57" t="s">
        <v>533</v>
      </c>
    </row>
    <row r="67" spans="1:27" x14ac:dyDescent="0.25">
      <c r="A67" s="52">
        <v>3100467</v>
      </c>
      <c r="B67" s="57" t="s">
        <v>459</v>
      </c>
      <c r="C67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8</v>
      </c>
      <c r="D67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7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7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67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67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67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7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9</v>
      </c>
      <c r="K67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67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7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6</v>
      </c>
      <c r="N67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67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7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7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7" s="49"/>
      <c r="S67" s="8"/>
      <c r="T67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2</v>
      </c>
      <c r="U67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67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325</v>
      </c>
      <c r="W67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67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7" s="8" t="s">
        <v>431</v>
      </c>
      <c r="Z67" s="8"/>
      <c r="AA67" s="57" t="s">
        <v>534</v>
      </c>
    </row>
    <row r="68" spans="1:27" x14ac:dyDescent="0.25">
      <c r="A68" s="52">
        <v>3100262</v>
      </c>
      <c r="B68" s="57" t="s">
        <v>460</v>
      </c>
      <c r="C68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6</v>
      </c>
      <c r="D68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8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8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68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68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68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8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9</v>
      </c>
      <c r="K68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68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8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1</v>
      </c>
      <c r="N68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2</v>
      </c>
      <c r="O68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8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8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8" s="49"/>
      <c r="S68" s="8"/>
      <c r="T68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68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68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300</v>
      </c>
      <c r="W68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68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8" s="8"/>
      <c r="Z68" s="8"/>
      <c r="AA68" s="57" t="s">
        <v>535</v>
      </c>
    </row>
    <row r="69" spans="1:27" x14ac:dyDescent="0.25">
      <c r="A69" s="52">
        <v>3100202</v>
      </c>
      <c r="B69" s="57" t="s">
        <v>461</v>
      </c>
      <c r="C69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10</v>
      </c>
      <c r="D69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69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69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69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69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69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69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16</v>
      </c>
      <c r="K69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69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69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3</v>
      </c>
      <c r="N69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8</v>
      </c>
      <c r="O69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69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69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69" s="49" t="s">
        <v>235</v>
      </c>
      <c r="S69" s="8"/>
      <c r="T69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-1</v>
      </c>
      <c r="U69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69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475</v>
      </c>
      <c r="W69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9</v>
      </c>
      <c r="X69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69" s="8"/>
      <c r="Z69" s="8"/>
      <c r="AA69" s="57" t="s">
        <v>563</v>
      </c>
    </row>
    <row r="70" spans="1:27" x14ac:dyDescent="0.25">
      <c r="A70" s="52">
        <v>3000062</v>
      </c>
      <c r="B70" s="57" t="s">
        <v>462</v>
      </c>
      <c r="C70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3</v>
      </c>
      <c r="D70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70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9</v>
      </c>
      <c r="F70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70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9</v>
      </c>
      <c r="H70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9</v>
      </c>
      <c r="I70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70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2</v>
      </c>
      <c r="K70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70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70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70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70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70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70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70" s="49"/>
      <c r="S70" s="8"/>
      <c r="T70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70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70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275</v>
      </c>
      <c r="W70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2</v>
      </c>
      <c r="X70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70" s="8"/>
      <c r="Z70" s="8"/>
      <c r="AA70" s="57" t="s">
        <v>556</v>
      </c>
    </row>
    <row r="71" spans="1:27" x14ac:dyDescent="0.25">
      <c r="A71" s="52">
        <v>3100212</v>
      </c>
      <c r="B71" s="57" t="s">
        <v>463</v>
      </c>
      <c r="C71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3</v>
      </c>
      <c r="D71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71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71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71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71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71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71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11</v>
      </c>
      <c r="K71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71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71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71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71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71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71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71" s="49"/>
      <c r="S71" s="8"/>
      <c r="T71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71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8</v>
      </c>
      <c r="V71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225</v>
      </c>
      <c r="W71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71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71" s="8"/>
      <c r="Z71" s="8"/>
      <c r="AA71" s="57" t="s">
        <v>536</v>
      </c>
    </row>
    <row r="72" spans="1:27" x14ac:dyDescent="0.25">
      <c r="A72" s="52">
        <v>3100222</v>
      </c>
      <c r="B72" s="57" t="s">
        <v>464</v>
      </c>
      <c r="C72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7</v>
      </c>
      <c r="D72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72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72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72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72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72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72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8</v>
      </c>
      <c r="K72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72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72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2</v>
      </c>
      <c r="N72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3</v>
      </c>
      <c r="O72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72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2</v>
      </c>
      <c r="Q72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72" s="49"/>
      <c r="S72" s="8"/>
      <c r="T72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72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8</v>
      </c>
      <c r="V72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300</v>
      </c>
      <c r="W72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5</v>
      </c>
      <c r="X72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72" s="8" t="s">
        <v>387</v>
      </c>
      <c r="Z72" s="8"/>
      <c r="AA72" s="57" t="s">
        <v>537</v>
      </c>
    </row>
    <row r="73" spans="1:27" x14ac:dyDescent="0.25">
      <c r="A73" s="52">
        <v>3100013</v>
      </c>
      <c r="B73" s="57" t="s">
        <v>465</v>
      </c>
      <c r="C73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10</v>
      </c>
      <c r="D73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9</v>
      </c>
      <c r="E73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73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73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73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73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73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11</v>
      </c>
      <c r="K73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73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73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5</v>
      </c>
      <c r="N73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4</v>
      </c>
      <c r="O73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73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73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73" s="49"/>
      <c r="S73" s="8"/>
      <c r="T73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-1</v>
      </c>
      <c r="U73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5</v>
      </c>
      <c r="V73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450</v>
      </c>
      <c r="W73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6</v>
      </c>
      <c r="X73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73" s="8"/>
      <c r="Z73" s="8"/>
      <c r="AA73" s="57" t="s">
        <v>538</v>
      </c>
    </row>
    <row r="74" spans="1:27" x14ac:dyDescent="0.25">
      <c r="A74" s="52">
        <v>3000083</v>
      </c>
      <c r="B74" s="57" t="s">
        <v>466</v>
      </c>
      <c r="C74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1</v>
      </c>
      <c r="D74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74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74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74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74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74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74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</v>
      </c>
      <c r="K74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0</v>
      </c>
      <c r="L74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74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0</v>
      </c>
      <c r="N74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0</v>
      </c>
      <c r="O74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74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74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74" s="49"/>
      <c r="S74" s="8"/>
      <c r="T74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0</v>
      </c>
      <c r="U74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6</v>
      </c>
      <c r="V74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100</v>
      </c>
      <c r="W74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</v>
      </c>
      <c r="X74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74" s="8"/>
      <c r="Z74" s="8"/>
      <c r="AA74" s="7" t="s">
        <v>564</v>
      </c>
    </row>
    <row r="75" spans="1:27" x14ac:dyDescent="0.25">
      <c r="A75" s="52"/>
      <c r="B75" s="57" t="s">
        <v>467</v>
      </c>
      <c r="C75" s="78">
        <f ca="1" xml:space="preserve"> MROUND(INDEX(SetsBaseStats[],MATCH(Tab_Boots[[#This Row],[Tag]],SetsBaseStats[Tag],0),MATCH(C$1,SetsBaseStats[#Headers],0))*INDEX(Modifiers[],MATCH($B$78,Modifiers[Armour Type],0),MATCH("Resistance",Modifiers[#Headers],0)),Tab_RoundTo[Resistance] * SIGN(INDEX(SetsBaseStats[],MATCH(Tab_Boots[[#This Row],[Tag]],SetsBaseStats[Tag],0),MATCH(C$1,SetsBaseStats[#Headers],0))))</f>
        <v>9</v>
      </c>
      <c r="D75" s="63">
        <f ca="1" xml:space="preserve"> MROUND(INDEX(SetsBaseStats[],MATCH(Tab_Boots[[#This Row],[Tag]],SetsBaseStats[Tag],0),MATCH(D$1,SetsBaseStats[#Headers],0))*INDEX(Modifiers[],MATCH($B$78,Modifiers[Armour Type],0),MATCH("Resistance",Modifiers[#Headers],0)),Tab_RoundTo[Resistance] * SIGN(INDEX(SetsBaseStats[],MATCH(Tab_Boots[[#This Row],[Tag]],SetsBaseStats[Tag],0),MATCH(D$1,SetsBaseStats[#Headers],0))))</f>
        <v>0</v>
      </c>
      <c r="E75" s="72">
        <f ca="1" xml:space="preserve"> MROUND(INDEX(SetsBaseStats[],MATCH(Tab_Boots[[#This Row],[Tag]],SetsBaseStats[Tag],0),MATCH(E$1,SetsBaseStats[#Headers],0))*INDEX(Modifiers[],MATCH($B$78,Modifiers[Armour Type],0),MATCH("Resistance",Modifiers[#Headers],0)),Tab_RoundTo[Resistance] * SIGN(INDEX(SetsBaseStats[],MATCH(Tab_Boots[[#This Row],[Tag]],SetsBaseStats[Tag],0),MATCH(E$1,SetsBaseStats[#Headers],0))))</f>
        <v>0</v>
      </c>
      <c r="F75" s="68">
        <f ca="1" xml:space="preserve"> MROUND(INDEX(SetsBaseStats[],MATCH(Tab_Boots[[#This Row],[Tag]],SetsBaseStats[Tag],0),MATCH(F$1,SetsBaseStats[#Headers],0))*INDEX(Modifiers[],MATCH($B$78,Modifiers[Armour Type],0),MATCH("Resistance",Modifiers[#Headers],0)),Tab_RoundTo[Resistance] * SIGN(INDEX(SetsBaseStats[],MATCH(Tab_Boots[[#This Row],[Tag]],SetsBaseStats[Tag],0),MATCH(F$1,SetsBaseStats[#Headers],0))))</f>
        <v>0</v>
      </c>
      <c r="G75" s="70">
        <f ca="1" xml:space="preserve"> MROUND(INDEX(SetsBaseStats[],MATCH(Tab_Boots[[#This Row],[Tag]],SetsBaseStats[Tag],0),MATCH(G$1,SetsBaseStats[#Headers],0))*INDEX(Modifiers[],MATCH($B$78,Modifiers[Armour Type],0),MATCH("Resistance",Modifiers[#Headers],0)),Tab_RoundTo[Resistance] * SIGN(INDEX(SetsBaseStats[],MATCH(Tab_Boots[[#This Row],[Tag]],SetsBaseStats[Tag],0),MATCH(G$1,SetsBaseStats[#Headers],0))))</f>
        <v>0</v>
      </c>
      <c r="H75" s="64">
        <f ca="1" xml:space="preserve"> MROUND(INDEX(SetsBaseStats[],MATCH(Tab_Boots[[#This Row],[Tag]],SetsBaseStats[Tag],0),MATCH(H$1,SetsBaseStats[#Headers],0))*INDEX(Modifiers[],MATCH($B$78,Modifiers[Armour Type],0),MATCH("Resistance",Modifiers[#Headers],0)),Tab_RoundTo[Resistance] * SIGN(INDEX(SetsBaseStats[],MATCH(Tab_Boots[[#This Row],[Tag]],SetsBaseStats[Tag],0),MATCH(H$1,SetsBaseStats[#Headers],0))))</f>
        <v>0</v>
      </c>
      <c r="I75" s="74">
        <f ca="1" xml:space="preserve"> MROUND(INDEX(SetsBaseStats[],MATCH(Tab_Boots[[#This Row],[Tag]],SetsBaseStats[Tag],0),MATCH(I$1,SetsBaseStats[#Headers],0))*INDEX(Modifiers[],MATCH($B$78,Modifiers[Armour Type],0),MATCH("Resistance",Modifiers[#Headers],0)),Tab_RoundTo[Resistance] * SIGN(INDEX(SetsBaseStats[],MATCH(Tab_Boots[[#This Row],[Tag]],SetsBaseStats[Tag],0),MATCH(I$1,SetsBaseStats[#Headers],0))))</f>
        <v>0</v>
      </c>
      <c r="J75" s="8">
        <f ca="1" xml:space="preserve"> MROUND(INDEX(SetsBaseStats[],MATCH(Tab_Boots[[#This Row],[Tag]],SetsBaseStats[Tag],0),MATCH(J$1,SetsBaseStats[#Headers],0))*INDEX(Modifiers[],MATCH($B$78,Modifiers[Armour Type],0),MATCH(J$1,Modifiers[#Headers],0)),INDEX(Tab_RoundTo[],1,MATCH(J$1,Tab_RoundTo[#Headers],0)) * SIGN(INDEX(SetsBaseStats[],MATCH(Tab_Boots[[#This Row],[Tag]],SetsBaseStats[Tag],0),MATCH(J$1,SetsBaseStats[#Headers],0))))</f>
        <v>11</v>
      </c>
      <c r="K75" s="8">
        <f ca="1" xml:space="preserve"> MROUND(INDEX(SetsBaseStats[],MATCH(Tab_Boots[[#This Row],[Tag]],SetsBaseStats[Tag],0),MATCH(K$1,SetsBaseStats[#Headers],0))*INDEX(Modifiers[],MATCH($B$78,Modifiers[Armour Type],0),MATCH(K$1,Modifiers[#Headers],0)),INDEX(Tab_RoundTo[],1,MATCH(K$1,Tab_RoundTo[#Headers],0)) * SIGN(INDEX(SetsBaseStats[],MATCH(Tab_Boots[[#This Row],[Tag]],SetsBaseStats[Tag],0),MATCH(K$1,SetsBaseStats[#Headers],0))))</f>
        <v>1</v>
      </c>
      <c r="L75" s="8">
        <f ca="1" xml:space="preserve"> MROUND(INDEX(SetsBaseStats[],MATCH(Tab_Boots[[#This Row],[Tag]],SetsBaseStats[Tag],0),MATCH(L$1,SetsBaseStats[#Headers],0))*INDEX(Modifiers[],MATCH($B$78,Modifiers[Armour Type],0),MATCH(L$1,Modifiers[#Headers],0)),INDEX(Tab_RoundTo[],1,MATCH(L$1,Tab_RoundTo[#Headers],0)) * SIGN(INDEX(SetsBaseStats[],MATCH(Tab_Boots[[#This Row],[Tag]],SetsBaseStats[Tag],0),MATCH(L$1,SetsBaseStats[#Headers],0))))</f>
        <v>0</v>
      </c>
      <c r="M75" s="8">
        <f ca="1" xml:space="preserve"> MROUND(INDEX(SetsBaseStats[],MATCH(Tab_Boots[[#This Row],[Tag]],SetsBaseStats[Tag],0),MATCH(M$1,SetsBaseStats[#Headers],0))*INDEX(Modifiers[],MATCH($B$78,Modifiers[Armour Type],0),MATCH(M$1,Modifiers[#Headers],0)),INDEX(Tab_RoundTo[],1,MATCH(M$1,Tab_RoundTo[#Headers],0)) * SIGN(INDEX(SetsBaseStats[],MATCH(Tab_Boots[[#This Row],[Tag]],SetsBaseStats[Tag],0),MATCH(M$1,SetsBaseStats[#Headers],0))))</f>
        <v>7</v>
      </c>
      <c r="N75" s="15">
        <f ca="1" xml:space="preserve"> MROUND(INDEX(SetsBaseStats[],MATCH(Tab_Boots[[#This Row],[Tag]],SetsBaseStats[Tag],0),MATCH(N$1,SetsBaseStats[#Headers],0))*INDEX(Modifiers[],MATCH($B$78,Modifiers[Armour Type],0),MATCH(N$1,Modifiers[#Headers],0)),INDEX(Tab_RoundTo[],1,MATCH(N$1,Tab_RoundTo[#Headers],0)) * SIGN(INDEX(SetsBaseStats[],MATCH(Tab_Boots[[#This Row],[Tag]],SetsBaseStats[Tag],0),MATCH(N$1,SetsBaseStats[#Headers],0))))</f>
        <v>-8</v>
      </c>
      <c r="O75" s="8">
        <f ca="1" xml:space="preserve"> MROUND(INDEX(SetsBaseStats[],MATCH(Tab_Boots[[#This Row],[Tag]],SetsBaseStats[Tag],0),MATCH(O$1,SetsBaseStats[#Headers],0))*INDEX(Modifiers[],MATCH($B$78,Modifiers[Armour Type],0),MATCH(O$1,Modifiers[#Headers],0)),INDEX(Tab_RoundTo[],1,MATCH(O$1,Tab_RoundTo[#Headers],0)) * SIGN(INDEX(SetsBaseStats[],MATCH(Tab_Boots[[#This Row],[Tag]],SetsBaseStats[Tag],0),MATCH(O$1,SetsBaseStats[#Headers],0))))</f>
        <v>0</v>
      </c>
      <c r="P75" s="8">
        <f ca="1" xml:space="preserve"> MROUND(INDEX(SetsBaseStats[],MATCH(Tab_Boots[[#This Row],[Tag]],SetsBaseStats[Tag],0),MATCH(P$1,SetsBaseStats[#Headers],0))*INDEX(Modifiers[],MATCH($B$78,Modifiers[Armour Type],0),MATCH(P$1,Modifiers[#Headers],0)),INDEX(Tab_RoundTo[],1,MATCH(P$1,Tab_RoundTo[#Headers],0)) * SIGN(INDEX(SetsBaseStats[],MATCH(Tab_Boots[[#This Row],[Tag]],SetsBaseStats[Tag],0),MATCH(P$1,SetsBaseStats[#Headers],0))))</f>
        <v>0</v>
      </c>
      <c r="Q75" s="8">
        <f ca="1" xml:space="preserve"> MROUND(INDEX(SetsBaseStats[],MATCH(Tab_Boots[[#This Row],[Tag]],SetsBaseStats[Tag],0),MATCH(Q$1,SetsBaseStats[#Headers],0))*INDEX(Modifiers[],MATCH($B$78,Modifiers[Armour Type],0),MATCH(Q$1,Modifiers[#Headers],0)),INDEX(Tab_RoundTo[],1,MATCH(Q$1,Tab_RoundTo[#Headers],0)) * SIGN(INDEX(SetsBaseStats[],MATCH(Tab_Boots[[#This Row],[Tag]],SetsBaseStats[Tag],0),MATCH(Q$1,SetsBaseStats[#Headers],0))))</f>
        <v>0</v>
      </c>
      <c r="R75" s="49" t="s">
        <v>191</v>
      </c>
      <c r="S75" s="8"/>
      <c r="T75" s="8">
        <f ca="1" xml:space="preserve"> MROUND(INDEX(SetsBaseStats[],MATCH(Tab_Boots[[#This Row],[Tag]],SetsBaseStats[Tag],0),MATCH(T$1,SetsBaseStats[#Headers],0))*INDEX(Modifiers[],MATCH($B$78,Modifiers[Armour Type],0),MATCH(T$1,Modifiers[#Headers],0)),INDEX(Tab_RoundTo[],1,MATCH(T$1,Tab_RoundTo[#Headers],0)) * SIGN(INDEX(SetsBaseStats[],MATCH(Tab_Boots[[#This Row],[Tag]],SetsBaseStats[Tag],0),MATCH(T$1,SetsBaseStats[#Headers],0))))</f>
        <v>3</v>
      </c>
      <c r="U75" s="8">
        <f ca="1" xml:space="preserve"> MROUND(INDEX(SetsBaseStats[],MATCH(Tab_Boots[[#This Row],[Tag]],SetsBaseStats[Tag],0),MATCH(U$1,SetsBaseStats[#Headers],0))*INDEX(Modifiers[],MATCH($B$78,Modifiers[Armour Type],0),MATCH(U$1,Modifiers[#Headers],0)),INDEX(Tab_RoundTo[],1,MATCH(U$1,Tab_RoundTo[#Headers],0)) * SIGN(INDEX(SetsBaseStats[],MATCH(Tab_Boots[[#This Row],[Tag]],SetsBaseStats[Tag],0),MATCH(U$1,SetsBaseStats[#Headers],0))))</f>
        <v>0</v>
      </c>
      <c r="V75" s="8">
        <f ca="1" xml:space="preserve"> MROUND(INDEX(SetsBaseStats[],MATCH(Tab_Boots[[#This Row],[Tag]],SetsBaseStats[Tag],0),MATCH(V$1,SetsBaseStats[#Headers],0))*INDEX(Modifiers[],MATCH($B$78,Modifiers[Armour Type],0),MATCH(V$1,Modifiers[#Headers],0)),INDEX(Tab_RoundTo[],1,MATCH(V$1,Tab_RoundTo[#Headers],0)) * SIGN(INDEX(SetsBaseStats[],MATCH(Tab_Boots[[#This Row],[Tag]],SetsBaseStats[Tag],0),MATCH(V$1,SetsBaseStats[#Headers],0))))</f>
        <v>550</v>
      </c>
      <c r="W75" s="8">
        <f ca="1" xml:space="preserve"> MROUND(INDEX(SetsBaseStats[],MATCH(Tab_Boots[[#This Row],[Tag]],SetsBaseStats[Tag],0),MATCH(W$1,SetsBaseStats[#Headers],0))*INDEX(Modifiers[],MATCH($B$78,Modifiers[Armour Type],0),MATCH(W$1,Modifiers[#Headers],0)),INDEX(Tab_RoundTo[],1,MATCH(W$1,Tab_RoundTo[#Headers],0)) * SIGN(INDEX(SetsBaseStats[],MATCH(Tab_Boots[[#This Row],[Tag]],SetsBaseStats[Tag],0),MATCH(W$1,SetsBaseStats[#Headers],0))))</f>
        <v>10</v>
      </c>
      <c r="X75" s="8">
        <f ca="1" xml:space="preserve"> MROUND(INDEX(SetsBaseStats[],MATCH(Tab_Boots[[#This Row],[Tag]],SetsBaseStats[Tag],0),MATCH(X$1,SetsBaseStats[#Headers],0))*INDEX(Modifiers[],MATCH($B$78,Modifiers[Armour Type],0),MATCH(X$1,Modifiers[#Headers],0)),INDEX(Tab_RoundTo[],1,MATCH(X$1,Tab_RoundTo[#Headers],0)) * SIGN(INDEX(SetsBaseStats[],MATCH(Tab_Boots[[#This Row],[Tag]],SetsBaseStats[Tag],0),MATCH(X$1,SetsBaseStats[#Headers],0))))</f>
        <v>0</v>
      </c>
      <c r="Y75" s="8"/>
      <c r="Z75" s="8"/>
      <c r="AA75" s="57" t="s">
        <v>539</v>
      </c>
    </row>
    <row r="76" spans="1:27" x14ac:dyDescent="0.25">
      <c r="A76" s="81"/>
      <c r="B76" s="94"/>
      <c r="C76" s="78"/>
      <c r="D76" s="100"/>
      <c r="E76" s="101"/>
      <c r="F76" s="102"/>
      <c r="G76" s="70"/>
      <c r="H76" s="103"/>
      <c r="I76" s="104"/>
      <c r="J76" s="8"/>
      <c r="K76" s="15"/>
      <c r="L76" s="8"/>
      <c r="M76" s="8"/>
      <c r="N76" s="15"/>
      <c r="O76" s="8"/>
      <c r="P76" s="8"/>
      <c r="Q76" s="8"/>
      <c r="R76" s="49"/>
      <c r="S76" s="7"/>
      <c r="T76" s="8"/>
      <c r="U76" s="8"/>
      <c r="V76" s="8"/>
      <c r="W76" s="8"/>
      <c r="X76" s="7"/>
      <c r="Y76" s="8"/>
      <c r="Z76" s="7"/>
      <c r="AA76" s="7"/>
    </row>
    <row r="77" spans="1:27" x14ac:dyDescent="0.25">
      <c r="A77" s="81"/>
      <c r="B77" s="94"/>
      <c r="C77" s="78"/>
      <c r="D77" s="100"/>
      <c r="E77" s="101"/>
      <c r="F77" s="102"/>
      <c r="G77" s="70"/>
      <c r="H77" s="103"/>
      <c r="I77" s="104"/>
      <c r="J77" s="8"/>
      <c r="K77" s="15"/>
      <c r="L77" s="8"/>
      <c r="M77" s="8"/>
      <c r="N77" s="15"/>
      <c r="O77" s="8"/>
      <c r="P77" s="8"/>
      <c r="Q77" s="8"/>
      <c r="R77" s="49"/>
      <c r="S77" s="7"/>
      <c r="T77" s="8"/>
      <c r="U77" s="8"/>
      <c r="V77" s="8"/>
      <c r="W77" s="8"/>
      <c r="X77" s="7"/>
      <c r="Y77" s="8"/>
      <c r="Z77" s="7"/>
      <c r="AA77" s="7"/>
    </row>
    <row r="78" spans="1:27" x14ac:dyDescent="0.25">
      <c r="A78" s="82" t="s">
        <v>582</v>
      </c>
      <c r="B78" s="94" t="str">
        <f ca="1">MID(CELL("filename",$A$1),SEARCH("]",CELL("filename",$A$1))+1,31)</f>
        <v>Boots</v>
      </c>
      <c r="C78" s="78"/>
      <c r="D78" s="100"/>
      <c r="E78" s="101"/>
      <c r="F78" s="102"/>
      <c r="G78" s="70"/>
      <c r="H78" s="103"/>
      <c r="I78" s="104"/>
      <c r="J78" s="8"/>
      <c r="K78" s="8"/>
      <c r="L78" s="8"/>
      <c r="M78" s="8"/>
      <c r="N78" s="15"/>
      <c r="O78" s="8"/>
      <c r="P78" s="8"/>
      <c r="Q78" s="8"/>
      <c r="R78" s="49"/>
      <c r="S78" s="7"/>
      <c r="T78" s="8"/>
      <c r="U78" s="8"/>
      <c r="V78" s="8"/>
      <c r="W78" s="8"/>
      <c r="X78" s="7"/>
      <c r="Y78" s="8"/>
      <c r="Z78" s="7"/>
      <c r="AA78" s="7"/>
    </row>
    <row r="79" spans="1:27" ht="14.45" customHeight="1" x14ac:dyDescent="0.25">
      <c r="A79" s="81"/>
      <c r="B79" s="94"/>
      <c r="C79" s="78"/>
      <c r="D79" s="100"/>
      <c r="E79" s="101"/>
      <c r="F79" s="102"/>
      <c r="G79" s="70"/>
      <c r="H79" s="103"/>
      <c r="I79" s="104"/>
      <c r="J79" s="8"/>
      <c r="K79" s="8"/>
      <c r="L79" s="8"/>
      <c r="M79" s="8"/>
      <c r="N79" s="15"/>
      <c r="O79" s="8"/>
      <c r="P79" s="8"/>
      <c r="Q79" s="8"/>
      <c r="R79" s="49"/>
      <c r="S79" s="7"/>
      <c r="T79" s="8"/>
      <c r="U79" s="8"/>
      <c r="V79" s="8"/>
      <c r="W79" s="8"/>
      <c r="X79" s="7"/>
      <c r="Y79" s="8"/>
      <c r="Z79" s="7"/>
      <c r="AA79" s="7"/>
    </row>
    <row r="80" spans="1:27" x14ac:dyDescent="0.25">
      <c r="A80" s="81"/>
      <c r="B80" s="94"/>
      <c r="C80" s="78"/>
      <c r="D80" s="100"/>
      <c r="E80" s="101"/>
      <c r="F80" s="102"/>
      <c r="G80" s="70"/>
      <c r="H80" s="103"/>
      <c r="I80" s="104"/>
      <c r="J80" s="8"/>
      <c r="K80" s="8"/>
      <c r="L80" s="8"/>
      <c r="M80" s="8"/>
      <c r="N80" s="15"/>
      <c r="O80" s="8"/>
      <c r="P80" s="8"/>
      <c r="Q80" s="8"/>
      <c r="R80" s="49"/>
      <c r="S80" s="7"/>
      <c r="T80" s="8"/>
      <c r="U80" s="8"/>
      <c r="V80" s="8"/>
      <c r="W80" s="8"/>
      <c r="X80" s="7"/>
      <c r="Y80" s="8"/>
      <c r="Z80" s="7"/>
      <c r="AA80" s="98"/>
    </row>
    <row r="81" spans="1:27" x14ac:dyDescent="0.25">
      <c r="A81" s="81"/>
      <c r="B81" s="94"/>
      <c r="C81" s="78"/>
      <c r="D81" s="100"/>
      <c r="E81" s="101"/>
      <c r="F81" s="102"/>
      <c r="G81" s="70"/>
      <c r="H81" s="103"/>
      <c r="I81" s="104"/>
      <c r="J81" s="8"/>
      <c r="K81" s="15"/>
      <c r="L81" s="8"/>
      <c r="M81" s="8"/>
      <c r="N81" s="15"/>
      <c r="O81" s="8"/>
      <c r="P81" s="8"/>
      <c r="Q81" s="8"/>
      <c r="R81" s="49"/>
      <c r="S81" s="7"/>
      <c r="T81" s="8"/>
      <c r="U81" s="8"/>
      <c r="V81" s="8"/>
      <c r="W81" s="8"/>
      <c r="X81" s="7"/>
      <c r="Y81" s="8"/>
      <c r="Z81" s="7"/>
      <c r="AA81" s="7"/>
    </row>
    <row r="82" spans="1:27" x14ac:dyDescent="0.25">
      <c r="A82" s="81"/>
      <c r="B82" s="94"/>
      <c r="C82" s="78"/>
      <c r="D82" s="100"/>
      <c r="E82" s="101"/>
      <c r="F82" s="102"/>
      <c r="G82" s="70"/>
      <c r="H82" s="103"/>
      <c r="I82" s="104"/>
      <c r="J82" s="8"/>
      <c r="K82" s="15"/>
      <c r="L82" s="8"/>
      <c r="M82" s="8"/>
      <c r="N82" s="15"/>
      <c r="O82" s="8"/>
      <c r="P82" s="8"/>
      <c r="Q82" s="8"/>
      <c r="R82" s="49"/>
      <c r="S82" s="7"/>
      <c r="T82" s="8"/>
      <c r="U82" s="8"/>
      <c r="V82" s="8"/>
      <c r="W82" s="8"/>
      <c r="X82" s="7"/>
      <c r="Y82" s="8"/>
      <c r="Z82" s="7"/>
      <c r="AA82" s="7"/>
    </row>
    <row r="83" spans="1:27" x14ac:dyDescent="0.25">
      <c r="A83" s="81"/>
      <c r="B83" s="94"/>
      <c r="C83" s="78"/>
      <c r="D83" s="100"/>
      <c r="E83" s="101"/>
      <c r="F83" s="102"/>
      <c r="G83" s="70"/>
      <c r="H83" s="103"/>
      <c r="I83" s="104"/>
      <c r="J83" s="8"/>
      <c r="K83" s="8"/>
      <c r="L83" s="8"/>
      <c r="M83" s="8"/>
      <c r="N83" s="15"/>
      <c r="O83" s="8"/>
      <c r="P83" s="8"/>
      <c r="Q83" s="8"/>
      <c r="R83" s="49"/>
      <c r="S83" s="7"/>
      <c r="T83" s="8"/>
      <c r="U83" s="8"/>
      <c r="V83" s="8"/>
      <c r="W83" s="8"/>
      <c r="X83" s="7"/>
      <c r="Y83" s="8"/>
      <c r="Z83" s="7"/>
      <c r="AA83" s="7"/>
    </row>
    <row r="84" spans="1:27" x14ac:dyDescent="0.25">
      <c r="A84" s="81"/>
      <c r="B84" s="94"/>
      <c r="C84" s="78"/>
      <c r="D84" s="100"/>
      <c r="E84" s="101"/>
      <c r="F84" s="102"/>
      <c r="G84" s="70"/>
      <c r="H84" s="103"/>
      <c r="I84" s="104"/>
      <c r="J84" s="8"/>
      <c r="K84" s="8"/>
      <c r="L84" s="8"/>
      <c r="M84" s="8"/>
      <c r="N84" s="15"/>
      <c r="O84" s="8"/>
      <c r="P84" s="8"/>
      <c r="Q84" s="8"/>
      <c r="R84" s="49"/>
      <c r="S84" s="7"/>
      <c r="T84" s="8"/>
      <c r="U84" s="8"/>
      <c r="V84" s="8"/>
      <c r="W84" s="8"/>
      <c r="X84" s="7"/>
      <c r="Y84" s="8"/>
      <c r="Z84" s="7"/>
      <c r="AA84" s="7"/>
    </row>
    <row r="85" spans="1:27" x14ac:dyDescent="0.25">
      <c r="A85" s="81"/>
      <c r="B85" s="94"/>
      <c r="C85" s="78"/>
      <c r="D85" s="100"/>
      <c r="E85" s="101"/>
      <c r="F85" s="102"/>
      <c r="G85" s="70"/>
      <c r="H85" s="103"/>
      <c r="I85" s="104"/>
      <c r="J85" s="8"/>
      <c r="K85" s="15"/>
      <c r="L85" s="8"/>
      <c r="M85" s="8"/>
      <c r="N85" s="15"/>
      <c r="O85" s="8"/>
      <c r="P85" s="8"/>
      <c r="Q85" s="8"/>
      <c r="R85" s="49"/>
      <c r="S85" s="7"/>
      <c r="T85" s="8"/>
      <c r="U85" s="8"/>
      <c r="V85" s="8"/>
      <c r="W85" s="8"/>
      <c r="X85" s="7"/>
      <c r="Y85" s="8"/>
      <c r="Z85" s="7"/>
      <c r="AA85" s="7"/>
    </row>
    <row r="86" spans="1:27" x14ac:dyDescent="0.25">
      <c r="A86" s="81"/>
      <c r="B86" s="99"/>
      <c r="C86" s="78"/>
      <c r="D86" s="100"/>
      <c r="E86" s="101"/>
      <c r="F86" s="102"/>
      <c r="G86" s="70"/>
      <c r="H86" s="103"/>
      <c r="I86" s="104"/>
      <c r="J86" s="8"/>
      <c r="K86" s="8"/>
      <c r="L86" s="8"/>
      <c r="M86" s="8"/>
      <c r="N86" s="15"/>
      <c r="O86" s="8"/>
      <c r="P86" s="8"/>
      <c r="Q86" s="8"/>
      <c r="R86" s="49"/>
      <c r="S86" s="7"/>
      <c r="T86" s="8"/>
      <c r="U86" s="8"/>
      <c r="V86" s="8"/>
      <c r="W86" s="8"/>
      <c r="X86" s="7"/>
      <c r="Y86" s="8"/>
      <c r="Z86" s="7"/>
      <c r="AA86" s="7"/>
    </row>
    <row r="87" spans="1:27" x14ac:dyDescent="0.25">
      <c r="A87" s="81"/>
      <c r="B87" s="94"/>
      <c r="C87" s="78"/>
      <c r="D87" s="100"/>
      <c r="E87" s="101"/>
      <c r="F87" s="102"/>
      <c r="G87" s="70"/>
      <c r="H87" s="103"/>
      <c r="I87" s="104"/>
      <c r="J87" s="8"/>
      <c r="K87" s="8"/>
      <c r="L87" s="8"/>
      <c r="M87" s="8"/>
      <c r="N87" s="15"/>
      <c r="O87" s="8"/>
      <c r="P87" s="8"/>
      <c r="Q87" s="8"/>
      <c r="R87" s="49"/>
      <c r="S87" s="7"/>
      <c r="T87" s="8"/>
      <c r="U87" s="8"/>
      <c r="V87" s="8"/>
      <c r="W87" s="8"/>
      <c r="X87" s="7"/>
      <c r="Y87" s="8"/>
      <c r="Z87" s="7"/>
      <c r="AA87" s="57"/>
    </row>
    <row r="88" spans="1:27" x14ac:dyDescent="0.25">
      <c r="A88" s="81"/>
      <c r="B88" s="94"/>
      <c r="C88" s="78"/>
      <c r="D88" s="100"/>
      <c r="E88" s="101"/>
      <c r="F88" s="102"/>
      <c r="G88" s="70"/>
      <c r="H88" s="103"/>
      <c r="I88" s="104"/>
      <c r="J88" s="8"/>
      <c r="K88" s="15"/>
      <c r="L88" s="8"/>
      <c r="M88" s="8"/>
      <c r="N88" s="15"/>
      <c r="O88" s="8"/>
      <c r="P88" s="8"/>
      <c r="Q88" s="8"/>
      <c r="R88" s="49"/>
      <c r="S88" s="7"/>
      <c r="T88" s="8"/>
      <c r="U88" s="8"/>
      <c r="V88" s="8"/>
      <c r="W88" s="8"/>
      <c r="X88" s="7"/>
      <c r="Y88" s="8"/>
      <c r="Z88" s="7"/>
      <c r="AA88" s="7"/>
    </row>
    <row r="89" spans="1:27" x14ac:dyDescent="0.25">
      <c r="A89" s="81"/>
      <c r="B89" s="94"/>
      <c r="C89" s="78"/>
      <c r="D89" s="100"/>
      <c r="E89" s="101"/>
      <c r="F89" s="102"/>
      <c r="G89" s="70"/>
      <c r="H89" s="103"/>
      <c r="I89" s="104"/>
      <c r="J89" s="8"/>
      <c r="K89" s="15"/>
      <c r="L89" s="8"/>
      <c r="M89" s="8"/>
      <c r="N89" s="15"/>
      <c r="O89" s="8"/>
      <c r="P89" s="8"/>
      <c r="Q89" s="8"/>
      <c r="R89" s="49"/>
      <c r="S89" s="7"/>
      <c r="T89" s="8"/>
      <c r="U89" s="8"/>
      <c r="V89" s="8"/>
      <c r="W89" s="8"/>
      <c r="X89" s="7"/>
      <c r="Y89" s="8"/>
      <c r="Z89" s="7"/>
      <c r="AA89" s="7"/>
    </row>
    <row r="90" spans="1:27" x14ac:dyDescent="0.25">
      <c r="A90" s="81"/>
      <c r="B90" s="94"/>
      <c r="C90" s="78"/>
      <c r="D90" s="100"/>
      <c r="E90" s="101"/>
      <c r="F90" s="102"/>
      <c r="G90" s="70"/>
      <c r="H90" s="103"/>
      <c r="I90" s="104"/>
      <c r="J90" s="8"/>
      <c r="K90" s="8"/>
      <c r="L90" s="8"/>
      <c r="M90" s="8"/>
      <c r="N90" s="15"/>
      <c r="O90" s="8"/>
      <c r="P90" s="8"/>
      <c r="Q90" s="8"/>
      <c r="R90" s="49"/>
      <c r="S90" s="7"/>
      <c r="T90" s="8"/>
      <c r="U90" s="8"/>
      <c r="V90" s="8"/>
      <c r="W90" s="8"/>
      <c r="X90" s="7"/>
      <c r="Y90" s="8"/>
      <c r="Z90" s="7"/>
      <c r="AA90" s="7"/>
    </row>
    <row r="91" spans="1:27" x14ac:dyDescent="0.25">
      <c r="A91" s="85"/>
      <c r="B91" s="57"/>
      <c r="C91" s="78"/>
      <c r="D91" s="100"/>
      <c r="E91" s="101"/>
      <c r="F91" s="102"/>
      <c r="G91" s="70"/>
      <c r="H91" s="103"/>
      <c r="I91" s="104"/>
      <c r="J91" s="8"/>
      <c r="K91" s="8"/>
      <c r="L91" s="8"/>
      <c r="M91" s="8"/>
      <c r="N91" s="7"/>
      <c r="O91" s="8"/>
      <c r="P91" s="8"/>
      <c r="Q91" s="7"/>
      <c r="R91" s="49"/>
      <c r="S91" s="7"/>
      <c r="T91" s="8"/>
      <c r="U91" s="8"/>
      <c r="V91" s="7"/>
      <c r="W91" s="7"/>
      <c r="X91" s="7"/>
      <c r="Y91" s="7"/>
      <c r="Z91" s="7"/>
      <c r="AA91" s="7"/>
    </row>
    <row r="92" spans="1:27" x14ac:dyDescent="0.25">
      <c r="A92" s="52"/>
      <c r="B92" s="57"/>
      <c r="C92" s="78"/>
      <c r="D92" s="100"/>
      <c r="E92" s="101"/>
      <c r="F92" s="102"/>
      <c r="G92" s="70"/>
      <c r="H92" s="103"/>
      <c r="I92" s="104"/>
      <c r="J92" s="8"/>
      <c r="K92" s="8"/>
      <c r="L92" s="8"/>
      <c r="M92" s="8"/>
      <c r="N92" s="7"/>
      <c r="O92" s="8"/>
      <c r="P92" s="8"/>
      <c r="Q92" s="7"/>
      <c r="R92" s="49"/>
      <c r="S92" s="7"/>
      <c r="T92" s="8"/>
      <c r="U92" s="8"/>
      <c r="V92" s="7"/>
      <c r="W92" s="7"/>
      <c r="X92" s="7"/>
      <c r="Y92" s="7"/>
      <c r="Z92" s="7"/>
      <c r="AA92" s="7"/>
    </row>
    <row r="93" spans="1:27" x14ac:dyDescent="0.25">
      <c r="A93" s="52"/>
      <c r="B93" s="57"/>
      <c r="C93" s="78"/>
      <c r="D93" s="100"/>
      <c r="E93" s="101"/>
      <c r="F93" s="102"/>
      <c r="G93" s="70"/>
      <c r="H93" s="103"/>
      <c r="I93" s="104"/>
      <c r="J93" s="8"/>
      <c r="K93" s="8"/>
      <c r="L93" s="8"/>
      <c r="M93" s="8"/>
      <c r="N93" s="7"/>
      <c r="O93" s="8"/>
      <c r="P93" s="8"/>
      <c r="Q93" s="7"/>
      <c r="R93" s="49"/>
      <c r="S93" s="7"/>
      <c r="T93" s="8"/>
      <c r="U93" s="8"/>
      <c r="V93" s="7"/>
      <c r="W93" s="7"/>
      <c r="X93" s="7"/>
      <c r="Y93" s="7"/>
      <c r="Z93" s="7"/>
      <c r="AA93" s="7"/>
    </row>
    <row r="94" spans="1:27" x14ac:dyDescent="0.25">
      <c r="A94" s="52"/>
      <c r="B94" s="57"/>
      <c r="C94" s="78"/>
      <c r="D94" s="100"/>
      <c r="E94" s="101"/>
      <c r="F94" s="102"/>
      <c r="G94" s="70"/>
      <c r="H94" s="103"/>
      <c r="I94" s="104"/>
      <c r="J94" s="8"/>
      <c r="K94" s="8"/>
      <c r="L94" s="8"/>
      <c r="M94" s="8"/>
      <c r="N94" s="7"/>
      <c r="O94" s="8"/>
      <c r="P94" s="8"/>
      <c r="Q94" s="7"/>
      <c r="R94" s="49"/>
      <c r="S94" s="7"/>
      <c r="T94" s="8"/>
      <c r="U94" s="8"/>
      <c r="V94" s="7"/>
      <c r="W94" s="7"/>
      <c r="X94" s="7"/>
      <c r="Y94" s="7"/>
      <c r="Z94" s="7"/>
      <c r="AA94" s="7"/>
    </row>
    <row r="95" spans="1:27" x14ac:dyDescent="0.25">
      <c r="A95" s="52"/>
      <c r="B95" s="57"/>
      <c r="C95" s="78"/>
      <c r="D95" s="100"/>
      <c r="E95" s="101"/>
      <c r="F95" s="102"/>
      <c r="G95" s="70"/>
      <c r="H95" s="103"/>
      <c r="I95" s="104"/>
      <c r="J95" s="8"/>
      <c r="K95" s="8"/>
      <c r="L95" s="8"/>
      <c r="M95" s="8"/>
      <c r="N95" s="7"/>
      <c r="O95" s="8"/>
      <c r="P95" s="8"/>
      <c r="Q95" s="7"/>
      <c r="R95" s="49"/>
      <c r="S95" s="7"/>
      <c r="T95" s="8"/>
      <c r="U95" s="8"/>
      <c r="V95" s="7"/>
      <c r="W95" s="7"/>
      <c r="X95" s="7"/>
      <c r="Y95" s="7"/>
      <c r="Z95" s="7"/>
      <c r="AA95" s="7"/>
    </row>
    <row r="96" spans="1:27" x14ac:dyDescent="0.25">
      <c r="A96" s="52"/>
      <c r="B96" s="94"/>
      <c r="C96" s="78"/>
      <c r="D96" s="100"/>
      <c r="E96" s="101"/>
      <c r="F96" s="102"/>
      <c r="G96" s="70"/>
      <c r="H96" s="103"/>
      <c r="I96" s="104"/>
      <c r="J96" s="8"/>
      <c r="K96" s="8"/>
      <c r="L96" s="8"/>
      <c r="M96" s="8"/>
      <c r="N96" s="7"/>
      <c r="O96" s="8"/>
      <c r="P96" s="8"/>
      <c r="Q96" s="7"/>
      <c r="R96" s="49"/>
      <c r="S96" s="7"/>
      <c r="T96" s="8"/>
      <c r="U96" s="8"/>
      <c r="V96" s="7"/>
      <c r="W96" s="7"/>
      <c r="X96" s="7"/>
      <c r="Y96" s="7"/>
      <c r="Z96" s="7"/>
      <c r="AA96" s="7"/>
    </row>
    <row r="97" spans="1:27" x14ac:dyDescent="0.25">
      <c r="A97" s="52"/>
      <c r="B97" s="57"/>
      <c r="C97" s="78"/>
      <c r="D97" s="100"/>
      <c r="E97" s="101"/>
      <c r="F97" s="102"/>
      <c r="G97" s="70"/>
      <c r="H97" s="103"/>
      <c r="I97" s="104"/>
      <c r="J97" s="8"/>
      <c r="K97" s="8"/>
      <c r="L97" s="8"/>
      <c r="M97" s="8"/>
      <c r="N97" s="7"/>
      <c r="O97" s="8"/>
      <c r="P97" s="8"/>
      <c r="Q97" s="7"/>
      <c r="R97" s="49"/>
      <c r="S97" s="7"/>
      <c r="T97" s="8"/>
      <c r="U97" s="8"/>
      <c r="V97" s="7"/>
      <c r="W97" s="7"/>
      <c r="X97" s="7"/>
      <c r="Y97" s="7"/>
      <c r="Z97" s="7"/>
      <c r="AA97" s="7"/>
    </row>
    <row r="98" spans="1:27" x14ac:dyDescent="0.25">
      <c r="A98" s="52"/>
      <c r="B98" s="57"/>
      <c r="C98" s="78"/>
      <c r="D98" s="100"/>
      <c r="E98" s="101"/>
      <c r="F98" s="102"/>
      <c r="G98" s="70"/>
      <c r="H98" s="103"/>
      <c r="I98" s="104"/>
      <c r="J98" s="8"/>
      <c r="K98" s="8"/>
      <c r="L98" s="8"/>
      <c r="M98" s="8"/>
      <c r="N98" s="7"/>
      <c r="O98" s="8"/>
      <c r="P98" s="8"/>
      <c r="Q98" s="7"/>
      <c r="R98" s="49"/>
      <c r="S98" s="7"/>
      <c r="T98" s="8"/>
      <c r="U98" s="8"/>
      <c r="V98" s="7"/>
      <c r="W98" s="7"/>
      <c r="X98" s="7"/>
      <c r="Y98" s="7"/>
      <c r="Z98" s="7"/>
      <c r="AA98" s="7"/>
    </row>
    <row r="99" spans="1:27" x14ac:dyDescent="0.25">
      <c r="A99" s="52"/>
      <c r="B99" s="57"/>
      <c r="C99" s="78"/>
      <c r="D99" s="100"/>
      <c r="E99" s="101"/>
      <c r="F99" s="102"/>
      <c r="G99" s="70"/>
      <c r="H99" s="103"/>
      <c r="I99" s="104"/>
      <c r="J99" s="8"/>
      <c r="K99" s="8"/>
      <c r="L99" s="8"/>
      <c r="M99" s="8"/>
      <c r="N99" s="7"/>
      <c r="O99" s="8"/>
      <c r="P99" s="8"/>
      <c r="Q99" s="7"/>
      <c r="R99" s="49"/>
      <c r="S99" s="7"/>
      <c r="T99" s="8"/>
      <c r="U99" s="8"/>
      <c r="V99" s="7"/>
      <c r="W99" s="7"/>
      <c r="X99" s="7"/>
      <c r="Y99" s="7"/>
      <c r="Z99" s="7"/>
      <c r="AA99" s="7"/>
    </row>
    <row r="100" spans="1:27" x14ac:dyDescent="0.25">
      <c r="A100" s="52"/>
      <c r="B100" s="57"/>
      <c r="C100" s="78"/>
      <c r="D100" s="100"/>
      <c r="E100" s="101"/>
      <c r="F100" s="102"/>
      <c r="G100" s="70"/>
      <c r="H100" s="103"/>
      <c r="I100" s="104"/>
      <c r="J100" s="8"/>
      <c r="K100" s="8"/>
      <c r="L100" s="8"/>
      <c r="M100" s="8"/>
      <c r="N100" s="7"/>
      <c r="O100" s="8"/>
      <c r="P100" s="8"/>
      <c r="Q100" s="7"/>
      <c r="R100" s="49"/>
      <c r="S100" s="7"/>
      <c r="T100" s="8"/>
      <c r="U100" s="8"/>
      <c r="V100" s="7"/>
      <c r="W100" s="7"/>
      <c r="X100" s="7"/>
      <c r="Y100" s="7"/>
      <c r="Z100" s="7"/>
      <c r="AA100" s="7"/>
    </row>
    <row r="101" spans="1:27" x14ac:dyDescent="0.25">
      <c r="A101" s="52"/>
      <c r="B101" s="94"/>
      <c r="C101" s="78"/>
      <c r="D101" s="100"/>
      <c r="E101" s="101"/>
      <c r="F101" s="102"/>
      <c r="G101" s="70"/>
      <c r="H101" s="103"/>
      <c r="I101" s="104"/>
      <c r="J101" s="8"/>
      <c r="K101" s="8"/>
      <c r="L101" s="8"/>
      <c r="M101" s="8"/>
      <c r="N101" s="7"/>
      <c r="O101" s="8"/>
      <c r="P101" s="8"/>
      <c r="Q101" s="7"/>
      <c r="R101" s="49"/>
      <c r="S101" s="7"/>
      <c r="T101" s="8"/>
      <c r="U101" s="8"/>
      <c r="V101" s="7"/>
      <c r="W101" s="7"/>
      <c r="X101" s="7"/>
      <c r="Y101" s="7"/>
      <c r="Z101" s="7"/>
      <c r="AA101" s="7"/>
    </row>
    <row r="102" spans="1:27" x14ac:dyDescent="0.25">
      <c r="A102" s="52"/>
      <c r="B102" s="15"/>
      <c r="C102" s="8"/>
      <c r="D102" s="7"/>
      <c r="E102" s="7"/>
      <c r="F102" s="7"/>
      <c r="G102" s="8"/>
      <c r="H102" s="7"/>
      <c r="I102" s="7"/>
      <c r="J102" s="8"/>
      <c r="K102" s="8"/>
      <c r="L102" s="8"/>
      <c r="M102" s="8"/>
      <c r="N102" s="7"/>
      <c r="O102" s="8"/>
      <c r="P102" s="8"/>
      <c r="Q102" s="7"/>
      <c r="R102" s="8"/>
      <c r="S102" s="7"/>
      <c r="T102" s="8"/>
      <c r="U102" s="8"/>
      <c r="V102" s="7"/>
      <c r="W102" s="7"/>
      <c r="X102" s="7"/>
      <c r="Y102" s="7"/>
      <c r="Z102" s="7"/>
      <c r="AA102" s="7"/>
    </row>
    <row r="103" spans="1:27" x14ac:dyDescent="0.25">
      <c r="A103" s="52"/>
      <c r="B103" s="48"/>
      <c r="C103" s="8"/>
      <c r="D103" s="7"/>
      <c r="E103" s="7"/>
      <c r="F103" s="7"/>
      <c r="G103" s="8"/>
      <c r="H103" s="7"/>
      <c r="I103" s="7"/>
      <c r="J103" s="8"/>
      <c r="K103" s="8"/>
      <c r="L103" s="8"/>
      <c r="M103" s="8"/>
      <c r="N103" s="7"/>
      <c r="O103" s="8"/>
      <c r="P103" s="8"/>
      <c r="Q103" s="7"/>
      <c r="R103" s="8"/>
      <c r="S103" s="7"/>
      <c r="T103" s="8"/>
      <c r="U103" s="8"/>
      <c r="V103" s="7"/>
      <c r="W103" s="7"/>
      <c r="X103" s="7"/>
      <c r="Y103" s="7"/>
      <c r="Z103" s="7"/>
      <c r="AA103" s="7"/>
    </row>
    <row r="104" spans="1:27" x14ac:dyDescent="0.25">
      <c r="A104" s="52"/>
      <c r="B104" s="15"/>
      <c r="C104" s="8"/>
      <c r="D104" s="7"/>
      <c r="E104" s="7"/>
      <c r="F104" s="7"/>
      <c r="G104" s="8"/>
      <c r="H104" s="7"/>
      <c r="I104" s="7"/>
      <c r="J104" s="8"/>
      <c r="K104" s="8"/>
      <c r="L104" s="8"/>
      <c r="M104" s="8"/>
      <c r="N104" s="7"/>
      <c r="O104" s="8"/>
      <c r="P104" s="8"/>
      <c r="Q104" s="7"/>
      <c r="R104" s="8"/>
      <c r="S104" s="7"/>
      <c r="T104" s="8"/>
      <c r="U104" s="8"/>
      <c r="V104" s="7"/>
      <c r="W104" s="7"/>
      <c r="X104" s="7"/>
      <c r="Y104" s="7"/>
      <c r="Z104" s="7"/>
      <c r="AA104" s="7"/>
    </row>
    <row r="105" spans="1:27" x14ac:dyDescent="0.25">
      <c r="A105" s="52"/>
      <c r="B105" s="15"/>
      <c r="C105" s="8"/>
      <c r="D105" s="7"/>
      <c r="E105" s="7"/>
      <c r="F105" s="7"/>
      <c r="G105" s="8"/>
      <c r="H105" s="7"/>
      <c r="I105" s="7"/>
      <c r="J105" s="8"/>
      <c r="K105" s="8"/>
      <c r="L105" s="8"/>
      <c r="M105" s="8"/>
      <c r="N105" s="7"/>
      <c r="O105" s="8"/>
      <c r="P105" s="8"/>
      <c r="Q105" s="7"/>
      <c r="R105" s="8"/>
      <c r="S105" s="7"/>
      <c r="T105" s="8"/>
      <c r="U105" s="8"/>
      <c r="V105" s="7"/>
      <c r="W105" s="7"/>
      <c r="X105" s="7"/>
      <c r="Y105" s="7"/>
      <c r="Z105" s="7"/>
      <c r="AA105" s="7"/>
    </row>
    <row r="106" spans="1:27" x14ac:dyDescent="0.25">
      <c r="A106" s="52"/>
      <c r="B106" s="48"/>
      <c r="C106" s="8"/>
      <c r="D106" s="7"/>
      <c r="E106" s="7"/>
      <c r="F106" s="7"/>
      <c r="G106" s="8"/>
      <c r="H106" s="7"/>
      <c r="I106" s="7"/>
      <c r="J106" s="8"/>
      <c r="K106" s="8"/>
      <c r="L106" s="8"/>
      <c r="M106" s="8"/>
      <c r="N106" s="7"/>
      <c r="O106" s="8"/>
      <c r="P106" s="8"/>
      <c r="Q106" s="7"/>
      <c r="R106" s="8"/>
      <c r="S106" s="7"/>
      <c r="T106" s="8"/>
      <c r="U106" s="8"/>
      <c r="V106" s="7"/>
      <c r="W106" s="7"/>
      <c r="X106" s="7"/>
      <c r="Y106" s="7"/>
      <c r="Z106" s="7"/>
      <c r="AA106" s="7"/>
    </row>
    <row r="107" spans="1:27" x14ac:dyDescent="0.25">
      <c r="A107" s="52"/>
      <c r="B107" s="47"/>
      <c r="C107" s="8"/>
      <c r="D107" s="7"/>
      <c r="E107" s="7"/>
      <c r="F107" s="7"/>
      <c r="G107" s="8"/>
      <c r="H107" s="7"/>
      <c r="I107" s="7"/>
      <c r="J107" s="8"/>
      <c r="K107" s="8"/>
      <c r="L107" s="8"/>
      <c r="M107" s="8"/>
      <c r="N107" s="7"/>
      <c r="O107" s="8"/>
      <c r="P107" s="8"/>
      <c r="Q107" s="7"/>
      <c r="R107" s="8"/>
      <c r="S107" s="7"/>
      <c r="T107" s="8"/>
      <c r="U107" s="8"/>
      <c r="V107" s="7"/>
      <c r="W107" s="7"/>
      <c r="X107" s="7"/>
      <c r="Y107" s="7"/>
      <c r="Z107" s="7"/>
      <c r="AA107" s="7"/>
    </row>
    <row r="108" spans="1:27" x14ac:dyDescent="0.25">
      <c r="A108" s="52"/>
      <c r="B108" s="15"/>
      <c r="C108" s="8"/>
      <c r="D108" s="7"/>
      <c r="E108" s="7"/>
      <c r="F108" s="7"/>
      <c r="G108" s="8"/>
      <c r="H108" s="7"/>
      <c r="I108" s="7"/>
      <c r="J108" s="8"/>
      <c r="K108" s="8"/>
      <c r="L108" s="8"/>
      <c r="M108" s="8"/>
      <c r="N108" s="7"/>
      <c r="O108" s="8"/>
      <c r="P108" s="8"/>
      <c r="Q108" s="7"/>
      <c r="R108" s="8"/>
      <c r="S108" s="7"/>
      <c r="T108" s="8"/>
      <c r="U108" s="8"/>
      <c r="V108" s="7"/>
      <c r="W108" s="7"/>
      <c r="X108" s="7"/>
      <c r="Y108" s="7"/>
      <c r="Z108" s="7"/>
      <c r="AA108" s="7"/>
    </row>
    <row r="109" spans="1:27" x14ac:dyDescent="0.25">
      <c r="A109" s="52"/>
      <c r="B109" s="15"/>
      <c r="C109" s="8"/>
      <c r="D109" s="7"/>
      <c r="E109" s="7"/>
      <c r="F109" s="7"/>
      <c r="G109" s="8"/>
      <c r="H109" s="7"/>
      <c r="I109" s="7"/>
      <c r="J109" s="8"/>
      <c r="K109" s="8"/>
      <c r="L109" s="8"/>
      <c r="M109" s="8"/>
      <c r="N109" s="7"/>
      <c r="O109" s="8"/>
      <c r="P109" s="8"/>
      <c r="Q109" s="7"/>
      <c r="R109" s="8"/>
      <c r="S109" s="7"/>
      <c r="T109" s="8"/>
      <c r="U109" s="8"/>
      <c r="V109" s="7"/>
      <c r="W109" s="7"/>
      <c r="X109" s="7"/>
      <c r="Y109" s="7"/>
      <c r="Z109" s="7"/>
      <c r="AA109" s="7"/>
    </row>
    <row r="110" spans="1:27" x14ac:dyDescent="0.25">
      <c r="A110" s="52"/>
      <c r="B110" s="15"/>
      <c r="C110" s="8"/>
      <c r="D110" s="7"/>
      <c r="E110" s="7"/>
      <c r="F110" s="7"/>
      <c r="G110" s="8"/>
      <c r="H110" s="7"/>
      <c r="I110" s="7"/>
      <c r="J110" s="8"/>
      <c r="K110" s="8"/>
      <c r="L110" s="8"/>
      <c r="M110" s="8"/>
      <c r="N110" s="7"/>
      <c r="O110" s="8"/>
      <c r="P110" s="8"/>
      <c r="Q110" s="7"/>
      <c r="R110" s="8"/>
      <c r="S110" s="7"/>
      <c r="T110" s="8"/>
      <c r="U110" s="8"/>
      <c r="V110" s="7"/>
      <c r="W110" s="7"/>
      <c r="X110" s="7"/>
      <c r="Y110" s="7"/>
      <c r="Z110" s="7"/>
      <c r="AA110" s="7"/>
    </row>
    <row r="111" spans="1:27" x14ac:dyDescent="0.25">
      <c r="A111" s="52"/>
      <c r="B111" s="15"/>
      <c r="C111" s="8"/>
      <c r="D111" s="7"/>
      <c r="E111" s="7"/>
      <c r="F111" s="7"/>
      <c r="G111" s="8"/>
      <c r="H111" s="7"/>
      <c r="I111" s="7"/>
      <c r="J111" s="8"/>
      <c r="K111" s="8"/>
      <c r="L111" s="8"/>
      <c r="M111" s="8"/>
      <c r="N111" s="7"/>
      <c r="O111" s="8"/>
      <c r="P111" s="8"/>
      <c r="Q111" s="7"/>
      <c r="R111" s="8"/>
      <c r="S111" s="7"/>
      <c r="T111" s="8"/>
      <c r="U111" s="8"/>
      <c r="V111" s="7"/>
      <c r="W111" s="7"/>
      <c r="X111" s="7"/>
      <c r="Y111" s="7"/>
      <c r="Z111" s="7"/>
      <c r="AA111" s="7"/>
    </row>
    <row r="112" spans="1:27" x14ac:dyDescent="0.25">
      <c r="A112" s="52"/>
      <c r="B112" s="15"/>
      <c r="C112" s="8"/>
      <c r="D112" s="7"/>
      <c r="E112" s="7"/>
      <c r="F112" s="7"/>
      <c r="G112" s="8"/>
      <c r="H112" s="7"/>
      <c r="I112" s="7"/>
      <c r="J112" s="8"/>
      <c r="K112" s="8"/>
      <c r="L112" s="8"/>
      <c r="M112" s="8"/>
      <c r="N112" s="7"/>
      <c r="O112" s="8"/>
      <c r="P112" s="8"/>
      <c r="Q112" s="7"/>
      <c r="R112" s="8"/>
      <c r="S112" s="7"/>
      <c r="T112" s="8"/>
      <c r="U112" s="8"/>
      <c r="V112" s="7"/>
      <c r="W112" s="7"/>
      <c r="X112" s="7"/>
      <c r="Y112" s="7"/>
      <c r="Z112" s="7"/>
      <c r="AA112" s="7"/>
    </row>
    <row r="113" spans="1:27" x14ac:dyDescent="0.25">
      <c r="A113" s="51"/>
      <c r="B113" s="43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x14ac:dyDescent="0.25">
      <c r="A114" s="51"/>
      <c r="B114" s="43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x14ac:dyDescent="0.25">
      <c r="A115" s="51"/>
      <c r="B115" s="4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x14ac:dyDescent="0.25">
      <c r="A116" s="51"/>
      <c r="B116" s="43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x14ac:dyDescent="0.25">
      <c r="A117" s="51"/>
      <c r="B117" s="43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x14ac:dyDescent="0.25">
      <c r="A118" s="51"/>
      <c r="B118" s="43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x14ac:dyDescent="0.25">
      <c r="A119" s="51"/>
      <c r="B119" s="43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x14ac:dyDescent="0.25">
      <c r="A120" s="51"/>
      <c r="B120" s="43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x14ac:dyDescent="0.25">
      <c r="A121" s="51"/>
      <c r="B121" s="43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x14ac:dyDescent="0.25">
      <c r="A122" s="51"/>
      <c r="B122" s="43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x14ac:dyDescent="0.25">
      <c r="A123" s="51"/>
      <c r="B123" s="43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x14ac:dyDescent="0.25">
      <c r="A124" s="51"/>
      <c r="B124" s="43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x14ac:dyDescent="0.25">
      <c r="A125" s="51"/>
      <c r="B125" s="43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x14ac:dyDescent="0.25">
      <c r="A126" s="51"/>
      <c r="B126" s="43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x14ac:dyDescent="0.25">
      <c r="A127" s="51"/>
      <c r="B127" s="43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x14ac:dyDescent="0.25">
      <c r="A128" s="51"/>
      <c r="B128" s="43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x14ac:dyDescent="0.25">
      <c r="A129" s="51"/>
      <c r="B129" s="43"/>
      <c r="C129" s="7"/>
      <c r="D129" s="7"/>
      <c r="E129" s="7"/>
      <c r="F129" s="7"/>
      <c r="G129" s="7"/>
      <c r="H129" s="7"/>
      <c r="I129" s="7"/>
      <c r="J129" s="7"/>
      <c r="K129" s="7"/>
      <c r="L129" s="14"/>
      <c r="M129" s="7"/>
      <c r="N129" s="7"/>
      <c r="O129" s="7"/>
      <c r="P129" s="7"/>
      <c r="Q129" s="7"/>
      <c r="R129" s="7"/>
      <c r="S129" s="7"/>
      <c r="T129" s="7"/>
      <c r="U129" s="34"/>
      <c r="V129" s="7"/>
      <c r="W129" s="7"/>
      <c r="X129" s="7"/>
      <c r="Y129" s="7"/>
      <c r="Z129" s="7"/>
      <c r="AA129" s="7"/>
    </row>
  </sheetData>
  <conditionalFormatting sqref="R1">
    <cfRule type="containsText" dxfId="133" priority="39" operator="containsText" text="Physical">
      <formula>NOT(ISERROR(SEARCH("Physical",R1)))</formula>
    </cfRule>
    <cfRule type="containsText" dxfId="132" priority="40" operator="containsText" text="Ethereal">
      <formula>NOT(ISERROR(SEARCH("Ethereal",R1)))</formula>
    </cfRule>
    <cfRule type="containsText" dxfId="131" priority="41" operator="containsText" text="Decay">
      <formula>NOT(ISERROR(SEARCH("Decay",R1)))</formula>
    </cfRule>
    <cfRule type="containsText" dxfId="130" priority="42" operator="containsText" text="Lightning">
      <formula>NOT(ISERROR(SEARCH("Lightning",R1)))</formula>
    </cfRule>
    <cfRule type="containsText" dxfId="129" priority="43" operator="containsText" text="Frost">
      <formula>NOT(ISERROR(SEARCH("Frost",R1)))</formula>
    </cfRule>
    <cfRule type="containsText" dxfId="128" priority="44" operator="containsText" text="Fire">
      <formula>NOT(ISERROR(SEARCH("Fire",R1)))</formula>
    </cfRule>
    <cfRule type="containsText" dxfId="127" priority="45" operator="containsText" text="Raw">
      <formula>NOT(ISERROR(SEARCH("Raw",R1)))</formula>
    </cfRule>
  </conditionalFormatting>
  <conditionalFormatting sqref="R3:R75">
    <cfRule type="containsText" dxfId="126" priority="32" operator="containsText" text="Physical">
      <formula>NOT(ISERROR(SEARCH("Physical",R3)))</formula>
    </cfRule>
    <cfRule type="containsText" dxfId="125" priority="33" operator="containsText" text="Ethereal">
      <formula>NOT(ISERROR(SEARCH("Ethereal",R3)))</formula>
    </cfRule>
    <cfRule type="containsText" dxfId="124" priority="34" operator="containsText" text="Decay">
      <formula>NOT(ISERROR(SEARCH("Decay",R3)))</formula>
    </cfRule>
    <cfRule type="containsText" dxfId="123" priority="35" operator="containsText" text="Lightning">
      <formula>NOT(ISERROR(SEARCH("Lightning",R3)))</formula>
    </cfRule>
    <cfRule type="containsText" dxfId="122" priority="36" operator="containsText" text="Frost">
      <formula>NOT(ISERROR(SEARCH("Frost",R3)))</formula>
    </cfRule>
    <cfRule type="containsText" dxfId="121" priority="37" operator="containsText" text="Fire">
      <formula>NOT(ISERROR(SEARCH("Fire",R3)))</formula>
    </cfRule>
    <cfRule type="containsText" dxfId="120" priority="38" operator="containsText" text="Raw">
      <formula>NOT(ISERROR(SEARCH("Raw",R3)))</formula>
    </cfRule>
  </conditionalFormatting>
  <conditionalFormatting sqref="R2">
    <cfRule type="containsText" dxfId="119" priority="13" operator="containsText" text="Physical">
      <formula>NOT(ISERROR(SEARCH("Physical",R2)))</formula>
    </cfRule>
    <cfRule type="containsText" dxfId="118" priority="14" operator="containsText" text="Ethereal">
      <formula>NOT(ISERROR(SEARCH("Ethereal",R2)))</formula>
    </cfRule>
    <cfRule type="containsText" dxfId="117" priority="15" operator="containsText" text="Decay">
      <formula>NOT(ISERROR(SEARCH("Decay",R2)))</formula>
    </cfRule>
    <cfRule type="containsText" dxfId="116" priority="16" operator="containsText" text="Lightning">
      <formula>NOT(ISERROR(SEARCH("Lightning",R2)))</formula>
    </cfRule>
    <cfRule type="containsText" dxfId="115" priority="17" operator="containsText" text="Frost">
      <formula>NOT(ISERROR(SEARCH("Frost",R2)))</formula>
    </cfRule>
    <cfRule type="containsText" dxfId="114" priority="18" operator="containsText" text="Fire">
      <formula>NOT(ISERROR(SEARCH("Fire",R2)))</formula>
    </cfRule>
    <cfRule type="containsText" dxfId="113" priority="19" operator="containsText" text="Raw">
      <formula>NOT(ISERROR(SEARCH("Raw",R2)))</formula>
    </cfRule>
  </conditionalFormatting>
  <conditionalFormatting sqref="T2:T75">
    <cfRule type="expression" dxfId="112" priority="7">
      <formula>MOD(ROW(), 2)=1</formula>
    </cfRule>
    <cfRule type="expression" dxfId="111" priority="8">
      <formula>MOD(ROW(), 2)=0</formula>
    </cfRule>
  </conditionalFormatting>
  <conditionalFormatting sqref="U2:U75">
    <cfRule type="expression" dxfId="110" priority="5">
      <formula>MOD(ROW(), 2)=1</formula>
    </cfRule>
    <cfRule type="expression" dxfId="109" priority="6">
      <formula>MOD(ROW(), 2)=0</formula>
    </cfRule>
  </conditionalFormatting>
  <conditionalFormatting sqref="M2:M75">
    <cfRule type="expression" dxfId="108" priority="3">
      <formula>MOD(ROW(), 2)=1</formula>
    </cfRule>
    <cfRule type="expression" dxfId="107" priority="4">
      <formula>MOD(ROW(), 2)=0</formula>
    </cfRule>
  </conditionalFormatting>
  <conditionalFormatting sqref="O2:O75">
    <cfRule type="expression" dxfId="106" priority="1">
      <formula>MOD(ROW(), 2)=1</formula>
    </cfRule>
    <cfRule type="expression" dxfId="105" priority="2">
      <formula>MOD(ROW(), 2)=0</formula>
    </cfRule>
  </conditionalFormatting>
  <conditionalFormatting sqref="P2:Q75 T2:U75">
    <cfRule type="cellIs" dxfId="104" priority="11" operator="greaterThan">
      <formula>0</formula>
    </cfRule>
    <cfRule type="cellIs" dxfId="103" priority="12" operator="lessThan">
      <formula>0</formula>
    </cfRule>
  </conditionalFormatting>
  <conditionalFormatting sqref="M2:O75">
    <cfRule type="cellIs" dxfId="102" priority="9" operator="greaterThan">
      <formula>0</formula>
    </cfRule>
    <cfRule type="cellIs" dxfId="101" priority="10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V45"/>
  <sheetViews>
    <sheetView workbookViewId="0">
      <selection activeCell="D7" sqref="D7"/>
    </sheetView>
  </sheetViews>
  <sheetFormatPr defaultRowHeight="15" x14ac:dyDescent="0.25"/>
  <cols>
    <col min="1" max="1" width="24.7109375" bestFit="1" customWidth="1"/>
  </cols>
  <sheetData>
    <row r="1" spans="1:22" x14ac:dyDescent="0.25">
      <c r="A1" t="s">
        <v>1</v>
      </c>
      <c r="B1" s="3" t="s">
        <v>124</v>
      </c>
      <c r="C1" s="3" t="s">
        <v>125</v>
      </c>
      <c r="D1" s="13" t="s">
        <v>126</v>
      </c>
      <c r="E1" s="3" t="s">
        <v>127</v>
      </c>
      <c r="F1" t="s">
        <v>128</v>
      </c>
      <c r="G1" s="3" t="s">
        <v>129</v>
      </c>
      <c r="H1" s="3" t="s">
        <v>130</v>
      </c>
      <c r="I1" s="3" t="s">
        <v>131</v>
      </c>
      <c r="J1" s="13" t="s">
        <v>132</v>
      </c>
      <c r="K1" s="3" t="s">
        <v>133</v>
      </c>
      <c r="L1" t="s">
        <v>134</v>
      </c>
      <c r="M1" s="3" t="s">
        <v>135</v>
      </c>
      <c r="N1" s="29"/>
      <c r="O1" s="37"/>
      <c r="P1" s="29"/>
      <c r="Q1" s="29"/>
      <c r="R1" s="29"/>
      <c r="S1" s="29"/>
      <c r="T1" s="29"/>
      <c r="U1" s="29"/>
      <c r="V1" s="29"/>
    </row>
    <row r="2" spans="1:22" x14ac:dyDescent="0.25">
      <c r="A2" s="30" t="s">
        <v>12</v>
      </c>
      <c r="B2" s="38"/>
      <c r="C2" s="6"/>
      <c r="D2" s="4"/>
      <c r="E2" s="41">
        <v>7</v>
      </c>
      <c r="F2" s="2">
        <v>7</v>
      </c>
      <c r="G2" s="12"/>
      <c r="H2" s="38"/>
      <c r="I2" s="6"/>
      <c r="J2" s="4"/>
      <c r="K2" s="41"/>
      <c r="L2" s="2"/>
      <c r="M2" s="12"/>
      <c r="N2" s="8"/>
      <c r="O2" s="15"/>
      <c r="P2" s="8"/>
      <c r="Q2" s="15"/>
      <c r="R2" s="29"/>
      <c r="S2" s="29"/>
      <c r="T2" s="29"/>
      <c r="U2" s="29"/>
      <c r="V2" s="29"/>
    </row>
    <row r="3" spans="1:22" x14ac:dyDescent="0.25">
      <c r="A3" s="31" t="s">
        <v>20</v>
      </c>
      <c r="B3" s="38"/>
      <c r="C3" s="6"/>
      <c r="D3" s="4">
        <v>7</v>
      </c>
      <c r="E3" s="41">
        <v>7</v>
      </c>
      <c r="F3" s="2"/>
      <c r="G3" s="5"/>
      <c r="H3" s="38"/>
      <c r="I3" s="6"/>
      <c r="J3" s="4"/>
      <c r="K3" s="41"/>
      <c r="L3" s="2"/>
      <c r="M3" s="5"/>
      <c r="N3" s="8"/>
      <c r="O3" s="8"/>
      <c r="P3" s="8"/>
      <c r="Q3" s="8"/>
      <c r="R3" s="29"/>
      <c r="S3" s="29"/>
      <c r="T3" s="29"/>
      <c r="U3" s="29"/>
      <c r="V3" s="29"/>
    </row>
    <row r="4" spans="1:22" x14ac:dyDescent="0.25">
      <c r="A4" s="7" t="s">
        <v>19</v>
      </c>
      <c r="B4" s="39"/>
      <c r="C4" s="6"/>
      <c r="D4" s="4"/>
      <c r="E4" s="42"/>
      <c r="F4" s="2"/>
      <c r="G4" s="5"/>
      <c r="H4" s="39"/>
      <c r="I4" s="6"/>
      <c r="J4" s="4"/>
      <c r="K4" s="42"/>
      <c r="L4" s="2">
        <v>-30</v>
      </c>
      <c r="M4" s="5"/>
      <c r="N4" s="8"/>
      <c r="O4" s="8"/>
      <c r="P4" s="8"/>
      <c r="Q4" s="8"/>
      <c r="R4" s="29"/>
      <c r="S4" s="29"/>
      <c r="T4" s="29"/>
      <c r="U4" s="29"/>
      <c r="V4" s="29"/>
    </row>
    <row r="5" spans="1:22" x14ac:dyDescent="0.25">
      <c r="A5" s="7" t="s">
        <v>25</v>
      </c>
      <c r="B5" s="40"/>
      <c r="C5" s="6"/>
      <c r="D5" s="4"/>
      <c r="E5" s="42"/>
      <c r="F5" s="2"/>
      <c r="G5" s="5"/>
      <c r="H5" s="40"/>
      <c r="I5" s="6"/>
      <c r="J5" s="4"/>
      <c r="K5" s="42"/>
      <c r="L5" s="2"/>
      <c r="M5" s="5">
        <v>-20</v>
      </c>
      <c r="N5" s="8"/>
      <c r="O5" s="8"/>
      <c r="P5" s="8"/>
      <c r="Q5" s="8"/>
      <c r="R5" s="29"/>
      <c r="S5" s="29"/>
      <c r="T5" s="29"/>
      <c r="U5" s="29"/>
      <c r="V5" s="29"/>
    </row>
    <row r="6" spans="1:22" x14ac:dyDescent="0.25">
      <c r="A6" s="17" t="s">
        <v>23</v>
      </c>
      <c r="B6" s="40"/>
      <c r="C6" s="6"/>
      <c r="D6" s="4"/>
      <c r="E6" s="42">
        <v>7</v>
      </c>
      <c r="F6" s="2">
        <v>7</v>
      </c>
      <c r="G6" s="18"/>
      <c r="H6" s="40"/>
      <c r="I6" s="6"/>
      <c r="J6" s="4"/>
      <c r="K6" s="42"/>
      <c r="L6" s="2"/>
      <c r="M6" s="18"/>
      <c r="N6" s="8"/>
      <c r="O6" s="8"/>
      <c r="P6" s="8"/>
      <c r="Q6" s="8"/>
      <c r="R6" s="29"/>
      <c r="S6" s="29"/>
      <c r="T6" s="29"/>
      <c r="U6" s="29"/>
      <c r="V6" s="29"/>
    </row>
    <row r="7" spans="1:22" x14ac:dyDescent="0.25">
      <c r="A7" s="17" t="s">
        <v>24</v>
      </c>
      <c r="B7" s="40"/>
      <c r="C7" s="6"/>
      <c r="D7" s="4"/>
      <c r="E7" s="42"/>
      <c r="F7" s="2">
        <v>15</v>
      </c>
      <c r="G7" s="5"/>
      <c r="H7" s="40"/>
      <c r="I7" s="6"/>
      <c r="J7" s="4"/>
      <c r="K7" s="42"/>
      <c r="L7" s="2"/>
      <c r="M7" s="5"/>
      <c r="N7" s="8"/>
      <c r="O7" s="8"/>
      <c r="P7" s="8"/>
      <c r="Q7" s="8"/>
      <c r="R7" s="29"/>
      <c r="S7" s="29"/>
      <c r="T7" s="29"/>
      <c r="U7" s="29"/>
      <c r="V7" s="29"/>
    </row>
    <row r="8" spans="1:22" x14ac:dyDescent="0.25">
      <c r="A8" s="7" t="s">
        <v>44</v>
      </c>
      <c r="B8" s="38"/>
      <c r="C8" s="6">
        <v>7</v>
      </c>
      <c r="D8" s="4"/>
      <c r="E8" s="42">
        <v>7</v>
      </c>
      <c r="F8" s="2"/>
      <c r="G8" s="5"/>
      <c r="H8" s="38"/>
      <c r="I8" s="6"/>
      <c r="J8" s="4"/>
      <c r="K8" s="42"/>
      <c r="L8" s="2"/>
      <c r="M8" s="5"/>
      <c r="N8" s="8"/>
      <c r="O8" s="8"/>
      <c r="P8" s="8"/>
      <c r="Q8" s="8"/>
      <c r="R8" s="29"/>
      <c r="S8" s="29"/>
      <c r="T8" s="29"/>
      <c r="U8" s="29"/>
      <c r="V8" s="29"/>
    </row>
    <row r="9" spans="1:22" x14ac:dyDescent="0.25">
      <c r="A9" s="7" t="s">
        <v>43</v>
      </c>
      <c r="B9" s="38"/>
      <c r="C9" s="6"/>
      <c r="D9" s="4"/>
      <c r="E9" s="42">
        <v>7</v>
      </c>
      <c r="F9" s="2"/>
      <c r="G9" s="5"/>
      <c r="H9" s="38"/>
      <c r="I9" s="6"/>
      <c r="J9" s="4"/>
      <c r="K9" s="42"/>
      <c r="L9" s="2"/>
      <c r="M9" s="5"/>
      <c r="N9" s="8"/>
      <c r="O9" s="8"/>
      <c r="P9" s="8"/>
      <c r="Q9" s="8"/>
      <c r="R9" s="29"/>
      <c r="S9" s="29"/>
      <c r="T9" s="29"/>
      <c r="U9" s="29"/>
      <c r="V9" s="29"/>
    </row>
    <row r="10" spans="1:22" x14ac:dyDescent="0.25">
      <c r="A10" s="7" t="s">
        <v>42</v>
      </c>
      <c r="B10" s="40"/>
      <c r="C10" s="6">
        <v>7</v>
      </c>
      <c r="D10" s="4"/>
      <c r="E10" s="42">
        <v>7</v>
      </c>
      <c r="F10" s="2"/>
      <c r="G10" s="5"/>
      <c r="H10" s="40"/>
      <c r="I10" s="6"/>
      <c r="J10" s="4"/>
      <c r="K10" s="42"/>
      <c r="L10" s="2"/>
      <c r="M10" s="5"/>
      <c r="N10" s="8"/>
      <c r="O10" s="8"/>
      <c r="P10" s="8"/>
      <c r="Q10" s="8"/>
      <c r="R10" s="29"/>
      <c r="S10" s="29"/>
      <c r="T10" s="29"/>
      <c r="U10" s="29"/>
      <c r="V10" s="29"/>
    </row>
    <row r="11" spans="1:22" x14ac:dyDescent="0.25">
      <c r="A11" s="7" t="s">
        <v>40</v>
      </c>
      <c r="B11" s="38"/>
      <c r="C11" s="6"/>
      <c r="D11" s="4">
        <v>7</v>
      </c>
      <c r="E11" s="42"/>
      <c r="F11" s="2"/>
      <c r="G11" s="5">
        <v>7</v>
      </c>
      <c r="H11" s="38"/>
      <c r="I11" s="6"/>
      <c r="J11" s="4"/>
      <c r="K11" s="42"/>
      <c r="L11" s="2"/>
      <c r="M11" s="5"/>
      <c r="N11" s="8"/>
      <c r="O11" s="8"/>
      <c r="P11" s="8"/>
      <c r="Q11" s="8"/>
      <c r="R11" s="29"/>
      <c r="S11" s="29"/>
      <c r="T11" s="29"/>
      <c r="U11" s="29"/>
      <c r="V11" s="29"/>
    </row>
    <row r="12" spans="1:22" x14ac:dyDescent="0.25">
      <c r="A12" s="7" t="s">
        <v>41</v>
      </c>
      <c r="B12" s="40"/>
      <c r="C12" s="6"/>
      <c r="D12" s="4"/>
      <c r="E12" s="42"/>
      <c r="F12" s="2">
        <v>5</v>
      </c>
      <c r="G12" s="5"/>
      <c r="H12" s="40"/>
      <c r="I12" s="6"/>
      <c r="J12" s="4"/>
      <c r="K12" s="42"/>
      <c r="L12" s="2"/>
      <c r="M12" s="5"/>
      <c r="N12" s="8"/>
      <c r="O12" s="8"/>
      <c r="P12" s="8"/>
      <c r="Q12" s="8"/>
      <c r="R12" s="29"/>
      <c r="S12" s="29"/>
      <c r="T12" s="29"/>
      <c r="U12" s="29"/>
      <c r="V12" s="29"/>
    </row>
    <row r="13" spans="1:22" x14ac:dyDescent="0.25">
      <c r="A13" s="7" t="s">
        <v>22</v>
      </c>
      <c r="B13" s="39"/>
      <c r="C13" s="6">
        <v>10</v>
      </c>
      <c r="D13" s="4">
        <v>10</v>
      </c>
      <c r="E13" s="42">
        <v>10</v>
      </c>
      <c r="F13" s="2">
        <v>10</v>
      </c>
      <c r="G13" s="5">
        <v>10</v>
      </c>
      <c r="H13" s="39"/>
      <c r="I13" s="6"/>
      <c r="J13" s="4"/>
      <c r="K13" s="42"/>
      <c r="L13" s="2"/>
      <c r="M13" s="5"/>
      <c r="N13" s="8"/>
      <c r="O13" s="8"/>
      <c r="P13" s="8"/>
      <c r="Q13" s="8"/>
      <c r="R13" s="29"/>
      <c r="S13" s="29"/>
      <c r="T13" s="29"/>
      <c r="U13" s="29"/>
      <c r="V13" s="29"/>
    </row>
    <row r="14" spans="1:22" x14ac:dyDescent="0.25">
      <c r="A14" s="7" t="s">
        <v>26</v>
      </c>
      <c r="B14" s="40"/>
      <c r="C14" s="6"/>
      <c r="D14" s="4">
        <v>7</v>
      </c>
      <c r="E14" s="42"/>
      <c r="F14" s="2"/>
      <c r="G14" s="5">
        <v>7</v>
      </c>
      <c r="H14" s="40"/>
      <c r="I14" s="6"/>
      <c r="J14" s="4"/>
      <c r="K14" s="42"/>
      <c r="L14" s="2"/>
      <c r="M14" s="5"/>
      <c r="N14" s="8"/>
      <c r="O14" s="8"/>
      <c r="P14" s="8"/>
      <c r="Q14" s="8"/>
      <c r="R14" s="29"/>
      <c r="S14" s="29"/>
      <c r="T14" s="29"/>
      <c r="U14" s="29"/>
      <c r="V14" s="29"/>
    </row>
    <row r="15" spans="1:22" x14ac:dyDescent="0.25">
      <c r="A15" s="7" t="s">
        <v>27</v>
      </c>
      <c r="B15" s="40"/>
      <c r="C15" s="6"/>
      <c r="D15" s="4"/>
      <c r="E15" s="42"/>
      <c r="F15" s="2">
        <v>15</v>
      </c>
      <c r="G15" s="5"/>
      <c r="H15" s="40"/>
      <c r="I15" s="6"/>
      <c r="J15" s="4"/>
      <c r="K15" s="42"/>
      <c r="L15" s="2"/>
      <c r="M15" s="5"/>
      <c r="N15" s="8"/>
      <c r="O15" s="8"/>
      <c r="P15" s="8"/>
      <c r="Q15" s="8"/>
      <c r="R15" s="29"/>
      <c r="S15" s="29"/>
      <c r="T15" s="29"/>
      <c r="U15" s="29"/>
      <c r="V15" s="29"/>
    </row>
    <row r="16" spans="1:22" x14ac:dyDescent="0.25">
      <c r="A16" s="7" t="s">
        <v>9</v>
      </c>
      <c r="B16" s="39"/>
      <c r="C16" s="6"/>
      <c r="D16" s="4"/>
      <c r="E16" s="42">
        <v>20</v>
      </c>
      <c r="F16" s="2"/>
      <c r="G16" s="5"/>
      <c r="H16" s="39"/>
      <c r="I16" s="6"/>
      <c r="J16" s="4"/>
      <c r="K16" s="42"/>
      <c r="L16" s="2"/>
      <c r="M16" s="5"/>
      <c r="N16" s="8"/>
      <c r="O16" s="8"/>
      <c r="P16" s="8"/>
      <c r="Q16" s="8"/>
      <c r="R16" s="29"/>
      <c r="S16" s="29"/>
      <c r="T16" s="29"/>
      <c r="U16" s="29"/>
      <c r="V16" s="29"/>
    </row>
    <row r="17" spans="1:22" x14ac:dyDescent="0.25">
      <c r="A17" s="7" t="s">
        <v>6</v>
      </c>
      <c r="B17" s="40"/>
      <c r="C17" s="6"/>
      <c r="D17" s="4"/>
      <c r="E17" s="42"/>
      <c r="F17" s="2"/>
      <c r="G17" s="5">
        <v>20</v>
      </c>
      <c r="H17" s="40"/>
      <c r="I17" s="6"/>
      <c r="J17" s="4"/>
      <c r="K17" s="42"/>
      <c r="L17" s="2"/>
      <c r="M17" s="5"/>
      <c r="N17" s="8"/>
      <c r="O17" s="8"/>
      <c r="P17" s="8"/>
      <c r="Q17" s="8"/>
      <c r="R17" s="29"/>
      <c r="S17" s="29"/>
      <c r="T17" s="29"/>
      <c r="U17" s="29"/>
      <c r="V17" s="29"/>
    </row>
    <row r="18" spans="1:22" x14ac:dyDescent="0.25">
      <c r="A18" s="7" t="s">
        <v>8</v>
      </c>
      <c r="B18" s="38"/>
      <c r="C18" s="6"/>
      <c r="D18" s="4"/>
      <c r="E18" s="42"/>
      <c r="F18" s="2">
        <v>20</v>
      </c>
      <c r="G18" s="5"/>
      <c r="H18" s="38"/>
      <c r="I18" s="6"/>
      <c r="J18" s="4"/>
      <c r="K18" s="42"/>
      <c r="L18" s="2"/>
      <c r="M18" s="5"/>
      <c r="N18" s="8"/>
      <c r="O18" s="8"/>
      <c r="P18" s="8"/>
      <c r="Q18" s="8"/>
      <c r="R18" s="29"/>
      <c r="S18" s="29"/>
      <c r="T18" s="29"/>
      <c r="U18" s="29"/>
      <c r="V18" s="29"/>
    </row>
    <row r="19" spans="1:22" x14ac:dyDescent="0.25">
      <c r="A19" s="7" t="s">
        <v>28</v>
      </c>
      <c r="B19" s="40"/>
      <c r="C19" s="6"/>
      <c r="D19" s="4"/>
      <c r="E19" s="42">
        <v>20</v>
      </c>
      <c r="F19" s="2"/>
      <c r="G19" s="5"/>
      <c r="H19" s="40"/>
      <c r="I19" s="6"/>
      <c r="J19" s="4"/>
      <c r="K19" s="42"/>
      <c r="L19" s="2"/>
      <c r="M19" s="5"/>
      <c r="N19" s="8"/>
      <c r="O19" s="8"/>
      <c r="P19" s="8"/>
      <c r="Q19" s="8"/>
      <c r="R19" s="29"/>
      <c r="S19" s="29"/>
      <c r="T19" s="29"/>
      <c r="U19" s="29"/>
      <c r="V19" s="29"/>
    </row>
    <row r="20" spans="1:22" x14ac:dyDescent="0.25">
      <c r="A20" s="7" t="s">
        <v>11</v>
      </c>
      <c r="B20" s="38"/>
      <c r="C20" s="6">
        <v>20</v>
      </c>
      <c r="D20" s="4"/>
      <c r="E20" s="42"/>
      <c r="F20" s="2"/>
      <c r="G20" s="5"/>
      <c r="H20" s="38"/>
      <c r="I20" s="6"/>
      <c r="J20" s="4"/>
      <c r="K20" s="42"/>
      <c r="L20" s="2"/>
      <c r="M20" s="5"/>
      <c r="N20" s="8"/>
      <c r="O20" s="8"/>
      <c r="P20" s="8"/>
      <c r="Q20" s="8"/>
      <c r="R20" s="29"/>
      <c r="S20" s="29"/>
      <c r="T20" s="29"/>
      <c r="U20" s="29"/>
      <c r="V20" s="29"/>
    </row>
    <row r="21" spans="1:22" x14ac:dyDescent="0.25">
      <c r="A21" s="7" t="s">
        <v>7</v>
      </c>
      <c r="B21" s="40"/>
      <c r="C21" s="6"/>
      <c r="D21" s="4">
        <v>40</v>
      </c>
      <c r="E21" s="42"/>
      <c r="F21" s="2"/>
      <c r="G21" s="5"/>
      <c r="H21" s="40"/>
      <c r="I21" s="6"/>
      <c r="J21" s="4"/>
      <c r="K21" s="42"/>
      <c r="L21" s="2"/>
      <c r="M21" s="5"/>
      <c r="N21" s="8"/>
      <c r="O21" s="8"/>
      <c r="P21" s="8"/>
      <c r="Q21" s="8"/>
      <c r="R21" s="29"/>
      <c r="S21" s="29"/>
      <c r="T21" s="29"/>
      <c r="U21" s="29"/>
      <c r="V21" s="29"/>
    </row>
    <row r="22" spans="1:22" x14ac:dyDescent="0.25">
      <c r="A22" s="7" t="s">
        <v>29</v>
      </c>
      <c r="B22" s="38"/>
      <c r="C22" s="6"/>
      <c r="D22" s="4"/>
      <c r="E22" s="42"/>
      <c r="F22" s="2"/>
      <c r="G22" s="5">
        <v>40</v>
      </c>
      <c r="H22" s="38"/>
      <c r="I22" s="6"/>
      <c r="J22" s="4"/>
      <c r="K22" s="42"/>
      <c r="L22" s="2"/>
      <c r="M22" s="5"/>
      <c r="N22" s="8"/>
      <c r="O22" s="8"/>
      <c r="P22" s="8"/>
      <c r="Q22" s="8"/>
      <c r="R22" s="29"/>
      <c r="S22" s="29"/>
      <c r="T22" s="29"/>
      <c r="U22" s="29"/>
      <c r="V22" s="29"/>
    </row>
    <row r="23" spans="1:22" x14ac:dyDescent="0.25">
      <c r="A23" s="7" t="s">
        <v>30</v>
      </c>
      <c r="B23" s="38"/>
      <c r="C23" s="6"/>
      <c r="D23" s="4"/>
      <c r="E23" s="42">
        <v>40</v>
      </c>
      <c r="F23" s="2"/>
      <c r="G23" s="5"/>
      <c r="H23" s="38"/>
      <c r="I23" s="6"/>
      <c r="J23" s="4"/>
      <c r="K23" s="42"/>
      <c r="L23" s="2"/>
      <c r="M23" s="5"/>
      <c r="N23" s="8"/>
      <c r="O23" s="8"/>
      <c r="P23" s="8"/>
      <c r="Q23" s="8"/>
      <c r="R23" s="29"/>
      <c r="S23" s="29"/>
      <c r="T23" s="29"/>
      <c r="U23" s="29"/>
      <c r="V23" s="29"/>
    </row>
    <row r="24" spans="1:22" x14ac:dyDescent="0.25">
      <c r="A24" s="7" t="s">
        <v>31</v>
      </c>
      <c r="B24" s="40"/>
      <c r="C24" s="6"/>
      <c r="D24" s="4"/>
      <c r="E24" s="42"/>
      <c r="F24" s="2">
        <v>40</v>
      </c>
      <c r="G24" s="5"/>
      <c r="H24" s="40"/>
      <c r="I24" s="6"/>
      <c r="J24" s="4"/>
      <c r="K24" s="42"/>
      <c r="L24" s="2"/>
      <c r="M24" s="5"/>
      <c r="N24" s="8"/>
      <c r="O24" s="8"/>
      <c r="P24" s="8"/>
      <c r="Q24" s="8"/>
      <c r="R24" s="29"/>
      <c r="S24" s="29"/>
      <c r="T24" s="29"/>
      <c r="U24" s="29"/>
      <c r="V24" s="29"/>
    </row>
    <row r="25" spans="1:22" x14ac:dyDescent="0.25">
      <c r="A25" s="7" t="s">
        <v>32</v>
      </c>
      <c r="B25" s="40"/>
      <c r="C25" s="6">
        <v>40</v>
      </c>
      <c r="D25" s="4">
        <v>40</v>
      </c>
      <c r="E25" s="42">
        <v>40</v>
      </c>
      <c r="F25" s="2">
        <v>40</v>
      </c>
      <c r="G25" s="5">
        <v>40</v>
      </c>
      <c r="H25" s="40"/>
      <c r="I25" s="6"/>
      <c r="J25" s="4"/>
      <c r="K25" s="42"/>
      <c r="L25" s="2"/>
      <c r="M25" s="5"/>
      <c r="N25" s="8"/>
      <c r="O25" s="8"/>
      <c r="P25" s="8"/>
      <c r="Q25" s="8"/>
      <c r="R25" s="29"/>
      <c r="S25" s="29"/>
      <c r="T25" s="29"/>
      <c r="U25" s="29"/>
      <c r="V25" s="29"/>
    </row>
    <row r="26" spans="1:22" x14ac:dyDescent="0.25">
      <c r="A26" s="7" t="s">
        <v>10</v>
      </c>
      <c r="B26" s="38"/>
      <c r="C26" s="6"/>
      <c r="D26" s="4"/>
      <c r="E26" s="42">
        <v>20</v>
      </c>
      <c r="F26" s="2"/>
      <c r="G26" s="5">
        <v>20</v>
      </c>
      <c r="H26" s="38"/>
      <c r="I26" s="6"/>
      <c r="J26" s="4"/>
      <c r="K26" s="42"/>
      <c r="L26" s="2"/>
      <c r="M26" s="5"/>
      <c r="N26" s="8"/>
      <c r="O26" s="8"/>
      <c r="P26" s="8"/>
      <c r="Q26" s="8"/>
      <c r="R26" s="29"/>
      <c r="S26" s="29"/>
      <c r="T26" s="29"/>
      <c r="U26" s="29"/>
      <c r="V26" s="29"/>
    </row>
    <row r="27" spans="1:22" x14ac:dyDescent="0.25">
      <c r="A27" s="7" t="s">
        <v>33</v>
      </c>
      <c r="B27" s="38"/>
      <c r="C27" s="6"/>
      <c r="D27" s="4"/>
      <c r="E27" s="42">
        <v>7</v>
      </c>
      <c r="F27" s="2"/>
      <c r="G27" s="5">
        <v>7</v>
      </c>
      <c r="H27" s="38"/>
      <c r="I27" s="6"/>
      <c r="J27" s="4"/>
      <c r="K27" s="42"/>
      <c r="L27" s="2"/>
      <c r="M27" s="5"/>
      <c r="N27" s="8"/>
      <c r="O27" s="8"/>
      <c r="P27" s="8"/>
      <c r="Q27" s="8"/>
      <c r="R27" s="29"/>
      <c r="S27" s="29"/>
      <c r="T27" s="29"/>
      <c r="U27" s="29"/>
      <c r="V27" s="29"/>
    </row>
    <row r="28" spans="1:22" x14ac:dyDescent="0.25">
      <c r="A28" s="7" t="s">
        <v>34</v>
      </c>
      <c r="B28" s="38"/>
      <c r="C28" s="6"/>
      <c r="D28" s="4"/>
      <c r="E28" s="42"/>
      <c r="F28" s="2">
        <v>15</v>
      </c>
      <c r="G28" s="5"/>
      <c r="H28" s="38"/>
      <c r="I28" s="6"/>
      <c r="J28" s="4"/>
      <c r="K28" s="42"/>
      <c r="L28" s="2"/>
      <c r="M28" s="5"/>
      <c r="N28" s="8"/>
      <c r="O28" s="8"/>
      <c r="P28" s="8"/>
      <c r="Q28" s="8"/>
      <c r="R28" s="29"/>
      <c r="S28" s="29"/>
      <c r="T28" s="29"/>
      <c r="U28" s="29"/>
      <c r="V28" s="29"/>
    </row>
    <row r="29" spans="1:22" x14ac:dyDescent="0.25">
      <c r="A29" s="7" t="s">
        <v>35</v>
      </c>
      <c r="B29" s="38"/>
      <c r="C29" s="6"/>
      <c r="D29" s="4"/>
      <c r="E29" s="42"/>
      <c r="F29" s="2">
        <v>7</v>
      </c>
      <c r="G29" s="5">
        <v>7</v>
      </c>
      <c r="H29" s="38"/>
      <c r="I29" s="6"/>
      <c r="J29" s="4"/>
      <c r="K29" s="42"/>
      <c r="L29" s="2"/>
      <c r="M29" s="5"/>
      <c r="N29" s="8"/>
      <c r="O29" s="8"/>
      <c r="P29" s="8"/>
      <c r="Q29" s="8"/>
      <c r="R29" s="29"/>
      <c r="S29" s="29"/>
      <c r="T29" s="29"/>
      <c r="U29" s="29"/>
      <c r="V29" s="29"/>
    </row>
    <row r="30" spans="1:22" x14ac:dyDescent="0.25">
      <c r="A30" s="7" t="s">
        <v>36</v>
      </c>
      <c r="B30" s="38"/>
      <c r="C30" s="6"/>
      <c r="D30" s="4"/>
      <c r="E30" s="42"/>
      <c r="F30" s="2">
        <v>15</v>
      </c>
      <c r="G30" s="5"/>
      <c r="H30" s="38"/>
      <c r="I30" s="6"/>
      <c r="J30" s="4"/>
      <c r="K30" s="42"/>
      <c r="L30" s="2"/>
      <c r="M30" s="5"/>
      <c r="N30" s="8"/>
      <c r="O30" s="8"/>
      <c r="P30" s="8"/>
      <c r="Q30" s="8"/>
      <c r="R30" s="29"/>
      <c r="S30" s="29"/>
      <c r="T30" s="29"/>
      <c r="U30" s="29"/>
      <c r="V30" s="29"/>
    </row>
    <row r="31" spans="1:22" x14ac:dyDescent="0.25">
      <c r="A31" s="7" t="s">
        <v>39</v>
      </c>
      <c r="B31" s="38"/>
      <c r="C31" s="6"/>
      <c r="D31" s="4">
        <v>13</v>
      </c>
      <c r="E31" s="42"/>
      <c r="F31" s="2"/>
      <c r="G31" s="5"/>
      <c r="H31" s="38"/>
      <c r="I31" s="6"/>
      <c r="J31" s="4"/>
      <c r="K31" s="42"/>
      <c r="L31" s="2"/>
      <c r="M31" s="5"/>
      <c r="N31" s="8"/>
      <c r="O31" s="8"/>
      <c r="P31" s="8"/>
      <c r="Q31" s="8"/>
      <c r="R31" s="29"/>
      <c r="S31" s="29"/>
      <c r="T31" s="29"/>
      <c r="U31" s="29"/>
      <c r="V31" s="29"/>
    </row>
    <row r="32" spans="1:22" x14ac:dyDescent="0.25">
      <c r="A32" s="7" t="s">
        <v>37</v>
      </c>
      <c r="B32" s="38"/>
      <c r="C32" s="6"/>
      <c r="D32" s="4">
        <v>7</v>
      </c>
      <c r="E32" s="42"/>
      <c r="F32" s="2"/>
      <c r="G32" s="18">
        <v>7</v>
      </c>
      <c r="H32" s="38"/>
      <c r="I32" s="6"/>
      <c r="J32" s="4"/>
      <c r="K32" s="42"/>
      <c r="L32" s="2"/>
      <c r="M32" s="18"/>
      <c r="N32" s="8"/>
      <c r="O32" s="8"/>
      <c r="P32" s="8"/>
      <c r="Q32" s="8"/>
      <c r="R32" s="29"/>
      <c r="S32" s="29"/>
      <c r="T32" s="29"/>
      <c r="U32" s="29"/>
      <c r="V32" s="29"/>
    </row>
    <row r="33" spans="1:22" x14ac:dyDescent="0.25">
      <c r="A33" s="7" t="s">
        <v>38</v>
      </c>
      <c r="B33" s="38"/>
      <c r="C33" s="6"/>
      <c r="D33" s="4"/>
      <c r="E33" s="42"/>
      <c r="F33" s="2">
        <v>10</v>
      </c>
      <c r="G33" s="5"/>
      <c r="H33" s="38"/>
      <c r="I33" s="6"/>
      <c r="J33" s="4"/>
      <c r="K33" s="42"/>
      <c r="L33" s="2"/>
      <c r="M33" s="5"/>
      <c r="N33" s="8"/>
      <c r="O33" s="8"/>
      <c r="P33" s="8"/>
      <c r="Q33" s="8"/>
      <c r="R33" s="29"/>
      <c r="S33" s="29"/>
      <c r="T33" s="29"/>
      <c r="U33" s="29"/>
      <c r="V33" s="29"/>
    </row>
    <row r="34" spans="1:22" x14ac:dyDescent="0.25">
      <c r="A34" s="7" t="s">
        <v>14</v>
      </c>
      <c r="B34" s="38"/>
      <c r="C34" s="6">
        <v>7</v>
      </c>
      <c r="D34" s="4">
        <v>7</v>
      </c>
      <c r="E34" s="42"/>
      <c r="F34" s="2"/>
      <c r="G34" s="5"/>
      <c r="H34" s="38"/>
      <c r="I34" s="6"/>
      <c r="J34" s="4"/>
      <c r="K34" s="42"/>
      <c r="L34" s="2"/>
      <c r="M34" s="5"/>
      <c r="N34" s="8"/>
      <c r="O34" s="8"/>
      <c r="P34" s="8"/>
      <c r="Q34" s="8"/>
      <c r="R34" s="29"/>
      <c r="S34" s="29"/>
      <c r="T34" s="29"/>
      <c r="U34" s="29"/>
      <c r="V34" s="29"/>
    </row>
    <row r="35" spans="1:22" x14ac:dyDescent="0.25">
      <c r="A35" s="7" t="s">
        <v>15</v>
      </c>
      <c r="B35" s="38"/>
      <c r="C35" s="6">
        <v>15</v>
      </c>
      <c r="D35" s="4"/>
      <c r="E35" s="42">
        <v>15</v>
      </c>
      <c r="F35" s="2"/>
      <c r="G35" s="5"/>
      <c r="H35" s="38"/>
      <c r="I35" s="6"/>
      <c r="J35" s="4"/>
      <c r="K35" s="42"/>
      <c r="L35" s="2"/>
      <c r="M35" s="5"/>
    </row>
    <row r="36" spans="1:22" x14ac:dyDescent="0.25">
      <c r="A36" s="7" t="s">
        <v>16</v>
      </c>
      <c r="B36" s="38"/>
      <c r="C36" s="6"/>
      <c r="D36" s="4"/>
      <c r="E36" s="42"/>
      <c r="F36" s="2">
        <v>15</v>
      </c>
      <c r="G36" s="5"/>
      <c r="H36" s="38"/>
      <c r="I36" s="6"/>
      <c r="J36" s="4"/>
      <c r="K36" s="42"/>
      <c r="L36" s="2"/>
      <c r="M36" s="5"/>
    </row>
    <row r="37" spans="1:22" x14ac:dyDescent="0.25">
      <c r="A37" s="7" t="s">
        <v>17</v>
      </c>
      <c r="B37" s="38"/>
      <c r="C37" s="6">
        <v>7</v>
      </c>
      <c r="D37" s="4"/>
      <c r="E37" s="42"/>
      <c r="F37" s="2">
        <v>7</v>
      </c>
      <c r="G37" s="5"/>
      <c r="H37" s="38"/>
      <c r="I37" s="6"/>
      <c r="J37" s="4"/>
      <c r="K37" s="42"/>
      <c r="L37" s="2"/>
      <c r="M37" s="5"/>
    </row>
    <row r="38" spans="1:22" x14ac:dyDescent="0.25">
      <c r="A38" s="7" t="s">
        <v>18</v>
      </c>
      <c r="B38" s="38"/>
      <c r="C38" s="6"/>
      <c r="D38" s="4"/>
      <c r="E38" s="42"/>
      <c r="F38" s="2">
        <v>10</v>
      </c>
      <c r="G38" s="5"/>
      <c r="H38" s="38"/>
      <c r="I38" s="6"/>
      <c r="J38" s="4"/>
      <c r="K38" s="42"/>
      <c r="L38" s="2"/>
      <c r="M38" s="5"/>
    </row>
    <row r="39" spans="1:22" x14ac:dyDescent="0.25">
      <c r="A39" s="7" t="s">
        <v>5</v>
      </c>
      <c r="B39" s="38"/>
      <c r="C39" s="6"/>
      <c r="D39" s="4"/>
      <c r="E39" s="42"/>
      <c r="F39" s="2">
        <v>15</v>
      </c>
      <c r="G39" s="5">
        <v>15</v>
      </c>
      <c r="H39" s="38"/>
      <c r="I39" s="6"/>
      <c r="J39" s="4"/>
      <c r="K39" s="42"/>
      <c r="L39" s="2"/>
      <c r="M39" s="5"/>
    </row>
    <row r="40" spans="1:22" x14ac:dyDescent="0.25">
      <c r="A40" s="7" t="s">
        <v>21</v>
      </c>
      <c r="B40" s="38"/>
      <c r="C40" s="6"/>
      <c r="D40" s="4"/>
      <c r="E40" s="42"/>
      <c r="F40" s="2">
        <v>15</v>
      </c>
      <c r="G40" s="5"/>
      <c r="H40" s="38"/>
      <c r="I40" s="6"/>
      <c r="J40" s="4"/>
      <c r="K40" s="42"/>
      <c r="L40" s="2"/>
      <c r="M40" s="5"/>
    </row>
    <row r="41" spans="1:22" x14ac:dyDescent="0.25">
      <c r="A41" s="7" t="s">
        <v>13</v>
      </c>
      <c r="B41" s="38"/>
      <c r="C41" s="6"/>
      <c r="D41" s="4"/>
      <c r="E41" s="42"/>
      <c r="F41" s="2">
        <v>10</v>
      </c>
      <c r="G41" s="5"/>
      <c r="H41" s="38"/>
      <c r="I41" s="6"/>
      <c r="J41" s="4"/>
      <c r="K41" s="42"/>
      <c r="L41" s="2"/>
      <c r="M41" s="5"/>
    </row>
    <row r="42" spans="1:22" x14ac:dyDescent="0.25">
      <c r="A42" s="7"/>
      <c r="B42" s="38"/>
      <c r="C42" s="6"/>
      <c r="D42" s="4"/>
      <c r="E42" s="42"/>
      <c r="F42" s="2"/>
      <c r="G42" s="5"/>
      <c r="H42" s="38"/>
      <c r="I42" s="6"/>
      <c r="J42" s="4"/>
      <c r="K42" s="42"/>
      <c r="L42" s="2"/>
      <c r="M42" s="5"/>
    </row>
    <row r="43" spans="1:22" x14ac:dyDescent="0.25">
      <c r="A43" s="7"/>
      <c r="B43" s="38"/>
      <c r="C43" s="6"/>
      <c r="D43" s="4"/>
      <c r="E43" s="42"/>
      <c r="F43" s="2"/>
      <c r="G43" s="5"/>
      <c r="H43" s="38"/>
      <c r="I43" s="6"/>
      <c r="J43" s="4"/>
      <c r="K43" s="42"/>
      <c r="L43" s="2"/>
      <c r="M43" s="5"/>
    </row>
    <row r="44" spans="1:22" x14ac:dyDescent="0.25">
      <c r="A44" s="7"/>
      <c r="B44" s="38"/>
      <c r="C44" s="6"/>
      <c r="D44" s="4"/>
      <c r="E44" s="42"/>
      <c r="F44" s="2"/>
      <c r="G44" s="5"/>
      <c r="H44" s="38"/>
      <c r="I44" s="6"/>
      <c r="J44" s="4"/>
      <c r="K44" s="42"/>
      <c r="L44" s="2"/>
      <c r="M44" s="5"/>
    </row>
    <row r="45" spans="1:22" x14ac:dyDescent="0.25">
      <c r="A45" s="7"/>
      <c r="B45" s="38"/>
      <c r="C45" s="6"/>
      <c r="D45" s="4"/>
      <c r="E45" s="42"/>
      <c r="F45" s="2"/>
      <c r="G45" s="5"/>
      <c r="H45" s="38"/>
      <c r="I45" s="6"/>
      <c r="J45" s="4"/>
      <c r="K45" s="42"/>
      <c r="L45" s="2"/>
      <c r="M45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Q34"/>
  <sheetViews>
    <sheetView zoomScaleNormal="100" workbookViewId="0">
      <selection activeCell="L12" sqref="L12"/>
    </sheetView>
  </sheetViews>
  <sheetFormatPr defaultRowHeight="15" x14ac:dyDescent="0.25"/>
  <cols>
    <col min="1" max="1" width="4.28515625" customWidth="1"/>
    <col min="2" max="2" width="24.140625" customWidth="1"/>
    <col min="3" max="3" width="5.5703125" customWidth="1"/>
    <col min="4" max="4" width="13.5703125" customWidth="1"/>
    <col min="5" max="5" width="24.28515625" customWidth="1"/>
    <col min="6" max="6" width="22.85546875" customWidth="1"/>
    <col min="7" max="7" width="11.140625" customWidth="1"/>
    <col min="8" max="8" width="7.42578125" customWidth="1"/>
    <col min="9" max="9" width="6.28515625" customWidth="1"/>
    <col min="10" max="10" width="6.5703125" customWidth="1"/>
  </cols>
  <sheetData>
    <row r="1" spans="1:17" x14ac:dyDescent="0.25">
      <c r="A1" t="s">
        <v>0</v>
      </c>
      <c r="B1" t="s">
        <v>1</v>
      </c>
      <c r="C1" t="s">
        <v>71</v>
      </c>
      <c r="D1" s="7" t="s">
        <v>70</v>
      </c>
      <c r="E1" s="3" t="s">
        <v>72</v>
      </c>
      <c r="F1" s="3" t="s">
        <v>4</v>
      </c>
      <c r="G1" t="s">
        <v>74</v>
      </c>
      <c r="H1" t="s">
        <v>75</v>
      </c>
      <c r="I1" t="s">
        <v>2</v>
      </c>
      <c r="J1" t="s">
        <v>81</v>
      </c>
    </row>
    <row r="2" spans="1:17" x14ac:dyDescent="0.25">
      <c r="A2" s="7"/>
      <c r="B2" s="7" t="s">
        <v>45</v>
      </c>
      <c r="C2" s="19">
        <v>18</v>
      </c>
      <c r="D2" s="7" t="s">
        <v>46</v>
      </c>
      <c r="E2" s="8"/>
      <c r="F2" s="7"/>
      <c r="G2" s="7"/>
      <c r="H2" s="7"/>
      <c r="I2" s="7">
        <v>1</v>
      </c>
      <c r="J2" s="7">
        <v>500</v>
      </c>
      <c r="K2" s="26"/>
      <c r="L2" s="7"/>
      <c r="M2" s="7"/>
      <c r="N2" s="7"/>
      <c r="O2" s="7"/>
      <c r="P2" s="9"/>
      <c r="Q2" s="7"/>
    </row>
    <row r="3" spans="1:17" x14ac:dyDescent="0.25">
      <c r="A3" s="7"/>
      <c r="B3" s="7" t="s">
        <v>59</v>
      </c>
      <c r="C3" s="7">
        <v>12</v>
      </c>
      <c r="D3" s="7" t="s">
        <v>46</v>
      </c>
      <c r="E3" s="7"/>
      <c r="F3" s="8"/>
      <c r="G3" s="23">
        <v>0.04</v>
      </c>
      <c r="H3" s="7"/>
      <c r="I3" s="7">
        <v>2</v>
      </c>
      <c r="J3" s="7">
        <v>100</v>
      </c>
      <c r="K3" s="7"/>
      <c r="L3" s="7"/>
      <c r="M3" s="7"/>
      <c r="N3" s="7"/>
      <c r="O3" s="7"/>
      <c r="P3" s="7"/>
      <c r="Q3" s="7"/>
    </row>
    <row r="4" spans="1:17" x14ac:dyDescent="0.25">
      <c r="A4" s="16"/>
      <c r="B4" s="21" t="s">
        <v>64</v>
      </c>
      <c r="C4" s="7">
        <v>14</v>
      </c>
      <c r="D4" s="7" t="s">
        <v>46</v>
      </c>
      <c r="E4" s="7"/>
      <c r="F4" s="7" t="s">
        <v>76</v>
      </c>
      <c r="G4" s="7"/>
      <c r="H4" s="7">
        <v>2</v>
      </c>
      <c r="I4" s="7">
        <v>2</v>
      </c>
      <c r="J4" s="7">
        <v>200</v>
      </c>
      <c r="K4" s="7"/>
      <c r="L4" s="7"/>
      <c r="M4" s="7"/>
      <c r="N4" s="7"/>
      <c r="O4" s="7"/>
      <c r="P4" s="7"/>
      <c r="Q4" s="7"/>
    </row>
    <row r="5" spans="1:17" x14ac:dyDescent="0.25">
      <c r="A5" s="7"/>
      <c r="B5" s="7" t="s">
        <v>48</v>
      </c>
      <c r="C5" s="7">
        <v>16</v>
      </c>
      <c r="D5" s="25" t="s">
        <v>46</v>
      </c>
      <c r="E5" s="7"/>
      <c r="F5" s="7" t="s">
        <v>49</v>
      </c>
      <c r="G5" s="7"/>
      <c r="H5" s="7">
        <v>15</v>
      </c>
      <c r="I5" s="7">
        <v>4</v>
      </c>
      <c r="J5" s="7">
        <v>500</v>
      </c>
      <c r="K5" s="7"/>
      <c r="L5" s="7"/>
      <c r="M5" s="7"/>
      <c r="N5" s="7"/>
      <c r="O5" s="7"/>
      <c r="P5" s="7"/>
      <c r="Q5" s="7"/>
    </row>
    <row r="6" spans="1:17" x14ac:dyDescent="0.25">
      <c r="A6" s="7"/>
      <c r="B6" s="7" t="s">
        <v>65</v>
      </c>
      <c r="C6" s="7">
        <v>12</v>
      </c>
      <c r="D6" s="7" t="s">
        <v>46</v>
      </c>
      <c r="E6" s="7" t="s">
        <v>50</v>
      </c>
      <c r="F6" s="10" t="s">
        <v>77</v>
      </c>
      <c r="G6" s="7"/>
      <c r="H6" s="7">
        <v>2</v>
      </c>
      <c r="I6" s="7">
        <v>1</v>
      </c>
      <c r="J6" s="7">
        <v>400</v>
      </c>
      <c r="K6" s="7"/>
      <c r="L6" s="7"/>
      <c r="M6" s="7"/>
      <c r="N6" s="7"/>
      <c r="O6" s="7"/>
      <c r="P6" s="7"/>
      <c r="Q6" s="7"/>
    </row>
    <row r="7" spans="1:17" x14ac:dyDescent="0.25">
      <c r="A7" s="7"/>
      <c r="B7" s="7" t="s">
        <v>53</v>
      </c>
      <c r="C7" s="7">
        <v>20</v>
      </c>
      <c r="D7" s="25" t="s">
        <v>46</v>
      </c>
      <c r="E7" s="7" t="s">
        <v>54</v>
      </c>
      <c r="F7" s="10" t="s">
        <v>80</v>
      </c>
      <c r="G7" s="20">
        <v>0.25</v>
      </c>
      <c r="H7" s="7">
        <v>2</v>
      </c>
      <c r="I7" s="7">
        <v>2</v>
      </c>
      <c r="J7" s="7">
        <v>2000</v>
      </c>
      <c r="K7" s="7"/>
      <c r="L7" s="7"/>
      <c r="M7" s="7"/>
      <c r="N7" s="7"/>
      <c r="O7" s="7"/>
      <c r="P7" s="7"/>
      <c r="Q7" s="7"/>
    </row>
    <row r="8" spans="1:17" x14ac:dyDescent="0.25">
      <c r="A8" s="7"/>
      <c r="B8" s="7" t="s">
        <v>66</v>
      </c>
      <c r="C8" s="7">
        <v>22</v>
      </c>
      <c r="D8" s="25" t="s">
        <v>46</v>
      </c>
      <c r="E8" s="7"/>
      <c r="F8" s="22" t="s">
        <v>73</v>
      </c>
      <c r="G8" s="7"/>
      <c r="H8" s="7">
        <v>2</v>
      </c>
      <c r="I8" s="7">
        <v>3</v>
      </c>
      <c r="J8" s="7">
        <v>1000</v>
      </c>
      <c r="K8" s="7"/>
      <c r="L8" s="7"/>
      <c r="M8" s="7"/>
      <c r="N8" s="7"/>
      <c r="O8" s="7"/>
      <c r="P8" s="7"/>
      <c r="Q8" s="7"/>
    </row>
    <row r="9" spans="1:17" x14ac:dyDescent="0.25">
      <c r="A9" s="7"/>
      <c r="B9" s="7" t="s">
        <v>67</v>
      </c>
      <c r="C9" s="7">
        <v>20</v>
      </c>
      <c r="D9" s="27"/>
      <c r="E9" s="7"/>
      <c r="F9" s="22" t="s">
        <v>79</v>
      </c>
      <c r="G9" s="7"/>
      <c r="H9" s="7">
        <v>2</v>
      </c>
      <c r="I9" s="7">
        <v>2</v>
      </c>
      <c r="J9" s="7">
        <v>400</v>
      </c>
      <c r="K9" s="7"/>
      <c r="L9" s="7"/>
      <c r="M9" s="7"/>
      <c r="N9" s="7"/>
      <c r="O9" s="7"/>
      <c r="P9" s="7"/>
      <c r="Q9" s="7"/>
    </row>
    <row r="10" spans="1:17" x14ac:dyDescent="0.25">
      <c r="A10" s="7"/>
      <c r="B10" s="7" t="s">
        <v>68</v>
      </c>
      <c r="C10" s="7">
        <v>20</v>
      </c>
      <c r="D10" s="27"/>
      <c r="E10" s="7"/>
      <c r="F10" s="10" t="s">
        <v>69</v>
      </c>
      <c r="G10" s="7"/>
      <c r="H10" s="7">
        <v>2</v>
      </c>
      <c r="I10" s="7">
        <v>2</v>
      </c>
      <c r="J10" s="7">
        <v>400</v>
      </c>
      <c r="K10" s="7"/>
      <c r="L10" s="7"/>
      <c r="M10" s="7"/>
      <c r="N10" s="7"/>
      <c r="O10" s="7"/>
      <c r="P10" s="7"/>
      <c r="Q10" s="7"/>
    </row>
    <row r="11" spans="1:17" x14ac:dyDescent="0.25">
      <c r="A11" s="7"/>
      <c r="B11" s="7" t="s">
        <v>62</v>
      </c>
      <c r="C11" s="7">
        <v>20</v>
      </c>
      <c r="D11" s="27"/>
      <c r="E11" s="7"/>
      <c r="F11" s="8" t="s">
        <v>63</v>
      </c>
      <c r="G11" s="20">
        <v>0.5</v>
      </c>
      <c r="H11" s="7">
        <v>2</v>
      </c>
      <c r="I11" s="7">
        <v>4</v>
      </c>
      <c r="J11" s="7">
        <v>400</v>
      </c>
      <c r="K11" s="7"/>
      <c r="L11" s="7"/>
      <c r="M11" s="7"/>
      <c r="N11" s="7"/>
      <c r="O11" s="7"/>
      <c r="P11" s="7"/>
      <c r="Q11" s="7"/>
    </row>
    <row r="12" spans="1:17" x14ac:dyDescent="0.25">
      <c r="A12" s="7"/>
      <c r="B12" s="7" t="s">
        <v>57</v>
      </c>
      <c r="C12" s="7">
        <v>10</v>
      </c>
      <c r="D12" s="7"/>
      <c r="E12" s="7"/>
      <c r="F12" s="8"/>
      <c r="G12" s="7"/>
      <c r="H12" s="7"/>
      <c r="I12" s="7">
        <v>1</v>
      </c>
      <c r="J12" s="7">
        <v>30</v>
      </c>
      <c r="K12" s="7"/>
      <c r="L12" s="7"/>
      <c r="M12" s="7"/>
      <c r="N12" s="7"/>
      <c r="O12" s="7"/>
      <c r="P12" s="7"/>
      <c r="Q12" s="7"/>
    </row>
    <row r="13" spans="1:17" x14ac:dyDescent="0.25">
      <c r="A13" s="7"/>
      <c r="B13" s="7" t="s">
        <v>55</v>
      </c>
      <c r="C13" s="7">
        <v>20</v>
      </c>
      <c r="D13" s="7"/>
      <c r="E13" s="7"/>
      <c r="F13" s="8"/>
      <c r="G13" s="23">
        <v>0.02</v>
      </c>
      <c r="H13" s="7"/>
      <c r="I13" s="7">
        <v>2</v>
      </c>
      <c r="J13" s="7">
        <v>60</v>
      </c>
      <c r="K13" s="7"/>
      <c r="L13" s="7"/>
      <c r="M13" s="7"/>
      <c r="N13" s="7"/>
      <c r="O13" s="7"/>
      <c r="P13" s="7"/>
      <c r="Q13" s="7"/>
    </row>
    <row r="14" spans="1:17" x14ac:dyDescent="0.25">
      <c r="A14" s="7"/>
      <c r="B14" s="7" t="s">
        <v>56</v>
      </c>
      <c r="C14" s="7">
        <v>20</v>
      </c>
      <c r="D14" s="7"/>
      <c r="E14" s="7"/>
      <c r="F14" s="8"/>
      <c r="G14" s="20">
        <v>0.75</v>
      </c>
      <c r="H14" s="7">
        <v>2</v>
      </c>
      <c r="I14" s="7">
        <v>3</v>
      </c>
      <c r="J14" s="7">
        <v>1000</v>
      </c>
      <c r="K14" s="7"/>
      <c r="L14" s="7"/>
      <c r="M14" s="7"/>
      <c r="N14" s="7"/>
      <c r="O14" s="7"/>
      <c r="P14" s="7"/>
      <c r="Q14" s="7"/>
    </row>
    <row r="15" spans="1:17" x14ac:dyDescent="0.25">
      <c r="A15" s="7"/>
      <c r="B15" s="7" t="s">
        <v>61</v>
      </c>
      <c r="C15" s="7">
        <v>35</v>
      </c>
      <c r="D15" s="7"/>
      <c r="E15" s="7" t="s">
        <v>82</v>
      </c>
      <c r="F15" s="22" t="s">
        <v>78</v>
      </c>
      <c r="G15" s="23">
        <v>0.06</v>
      </c>
      <c r="H15" s="7">
        <v>2</v>
      </c>
      <c r="I15" s="7">
        <v>8</v>
      </c>
      <c r="J15" s="7">
        <v>500</v>
      </c>
      <c r="K15" s="7"/>
      <c r="L15" s="7"/>
      <c r="M15" s="7"/>
      <c r="N15" s="7"/>
      <c r="O15" s="7"/>
      <c r="P15" s="7"/>
      <c r="Q15" s="7"/>
    </row>
    <row r="16" spans="1:17" x14ac:dyDescent="0.25">
      <c r="A16" s="16"/>
      <c r="B16" s="17" t="s">
        <v>47</v>
      </c>
      <c r="C16" s="7">
        <v>30</v>
      </c>
      <c r="D16" s="7"/>
      <c r="E16" s="7" t="s">
        <v>82</v>
      </c>
      <c r="F16" s="22" t="s">
        <v>78</v>
      </c>
      <c r="G16" s="20">
        <v>0.5</v>
      </c>
      <c r="H16" s="7">
        <v>1</v>
      </c>
      <c r="I16" s="7">
        <v>3</v>
      </c>
      <c r="J16" s="7">
        <v>500</v>
      </c>
      <c r="K16" s="7"/>
      <c r="L16" s="7"/>
      <c r="M16" s="7"/>
      <c r="N16" s="7"/>
      <c r="O16" s="7"/>
      <c r="P16" s="7"/>
      <c r="Q16" s="7"/>
    </row>
    <row r="17" spans="1:17" x14ac:dyDescent="0.25">
      <c r="A17" s="7"/>
      <c r="B17" s="7" t="s">
        <v>51</v>
      </c>
      <c r="C17" s="7">
        <v>20</v>
      </c>
      <c r="D17" s="7"/>
      <c r="E17" s="7" t="s">
        <v>52</v>
      </c>
      <c r="F17" s="22" t="s">
        <v>84</v>
      </c>
      <c r="G17" s="7"/>
      <c r="H17" s="7"/>
      <c r="I17" s="7">
        <v>2</v>
      </c>
      <c r="J17" s="7">
        <v>400</v>
      </c>
      <c r="K17" s="7"/>
      <c r="L17" s="7"/>
      <c r="M17" s="7"/>
      <c r="N17" s="7"/>
      <c r="O17" s="7"/>
      <c r="P17" s="7"/>
      <c r="Q17" s="7"/>
    </row>
    <row r="18" spans="1:17" x14ac:dyDescent="0.25">
      <c r="A18" s="7"/>
      <c r="B18" s="7" t="s">
        <v>58</v>
      </c>
      <c r="C18" s="7">
        <v>30</v>
      </c>
      <c r="D18" s="7"/>
      <c r="E18" s="7" t="s">
        <v>142</v>
      </c>
      <c r="F18" s="22" t="s">
        <v>78</v>
      </c>
      <c r="G18" s="23">
        <v>0.04</v>
      </c>
      <c r="H18" s="7">
        <v>2</v>
      </c>
      <c r="I18" s="7">
        <v>3</v>
      </c>
      <c r="J18" s="7">
        <v>500</v>
      </c>
      <c r="K18" s="7"/>
      <c r="L18" s="7"/>
      <c r="M18" s="7"/>
      <c r="N18" s="7"/>
      <c r="O18" s="7"/>
      <c r="P18" s="7"/>
      <c r="Q18" s="7"/>
    </row>
    <row r="19" spans="1:17" x14ac:dyDescent="0.25">
      <c r="A19" s="7"/>
      <c r="B19" s="7" t="s">
        <v>60</v>
      </c>
      <c r="C19" s="7">
        <v>30</v>
      </c>
      <c r="D19" s="7"/>
      <c r="E19" s="10" t="s">
        <v>82</v>
      </c>
      <c r="F19" s="7" t="s">
        <v>141</v>
      </c>
      <c r="G19" s="23">
        <v>0.04</v>
      </c>
      <c r="H19" s="7">
        <v>9</v>
      </c>
      <c r="I19" s="7">
        <v>4</v>
      </c>
      <c r="J19" s="7">
        <v>500</v>
      </c>
      <c r="K19" s="7"/>
      <c r="L19" s="7"/>
      <c r="M19" s="7"/>
      <c r="N19" s="7"/>
      <c r="O19" s="7"/>
      <c r="P19" s="7"/>
      <c r="Q19" s="7"/>
    </row>
    <row r="20" spans="1:17" x14ac:dyDescent="0.25">
      <c r="A20" s="7"/>
      <c r="B20" s="7" t="s">
        <v>83</v>
      </c>
      <c r="C20" s="7">
        <v>40</v>
      </c>
      <c r="D20" s="7"/>
      <c r="E20" s="10" t="s">
        <v>82</v>
      </c>
      <c r="F20" s="22" t="s">
        <v>78</v>
      </c>
      <c r="G20" s="24"/>
      <c r="H20" s="7"/>
      <c r="I20" s="7">
        <v>5</v>
      </c>
      <c r="J20" s="7">
        <v>2000</v>
      </c>
      <c r="K20" s="7"/>
      <c r="L20" s="7"/>
      <c r="M20" s="7"/>
      <c r="N20" s="7"/>
      <c r="O20" s="7"/>
      <c r="P20" s="7"/>
      <c r="Q20" s="7"/>
    </row>
    <row r="21" spans="1:17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</row>
    <row r="22" spans="1:17" x14ac:dyDescent="0.25">
      <c r="A22" s="7"/>
      <c r="B22" s="7"/>
      <c r="C22" s="7"/>
      <c r="D22" s="7"/>
      <c r="E22" s="8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</row>
    <row r="23" spans="1:17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</row>
    <row r="24" spans="1:17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x14ac:dyDescent="0.25">
      <c r="A25" s="7"/>
      <c r="B25" s="7"/>
      <c r="C25" s="8"/>
      <c r="D25" s="7"/>
      <c r="E25" s="7"/>
      <c r="F25" s="7"/>
      <c r="G25" s="7"/>
      <c r="H25" s="7"/>
      <c r="I25" s="7"/>
      <c r="J25" s="8"/>
      <c r="K25" s="7"/>
      <c r="L25" s="7"/>
      <c r="M25" s="7"/>
      <c r="N25" s="7"/>
      <c r="O25" s="7"/>
      <c r="P25" s="7"/>
      <c r="Q25" s="7"/>
    </row>
    <row r="26" spans="1:17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</row>
    <row r="27" spans="1:17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</row>
    <row r="28" spans="1:17" x14ac:dyDescent="0.25">
      <c r="A28" s="7"/>
      <c r="B28" s="7"/>
      <c r="C28" s="7"/>
      <c r="D28" s="7"/>
      <c r="E28" s="7"/>
      <c r="F28" s="7"/>
      <c r="G28" s="7"/>
      <c r="H28" s="7"/>
      <c r="I28" s="7"/>
      <c r="J28" s="8"/>
      <c r="K28" s="7"/>
      <c r="L28" s="7"/>
      <c r="M28" s="7"/>
      <c r="N28" s="7"/>
      <c r="O28" s="7"/>
      <c r="P28" s="7"/>
      <c r="Q28" s="7"/>
    </row>
    <row r="29" spans="1:17" x14ac:dyDescent="0.25">
      <c r="A29" s="7"/>
      <c r="B29" s="7"/>
      <c r="C29" s="7"/>
      <c r="D29" s="7"/>
      <c r="E29" s="7"/>
      <c r="F29" s="7"/>
      <c r="G29" s="7"/>
      <c r="H29" s="7"/>
      <c r="I29" s="7"/>
      <c r="J29" s="8"/>
      <c r="K29" s="7"/>
      <c r="L29" s="7"/>
      <c r="M29" s="7"/>
      <c r="N29" s="7"/>
      <c r="O29" s="7"/>
      <c r="P29" s="7"/>
      <c r="Q29" s="7"/>
    </row>
    <row r="30" spans="1:17" x14ac:dyDescent="0.25">
      <c r="A30" s="7"/>
      <c r="B30" s="7"/>
      <c r="C30" s="8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</row>
    <row r="31" spans="1:17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</row>
    <row r="32" spans="1:17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</row>
    <row r="33" spans="1:17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</row>
    <row r="34" spans="1:17" x14ac:dyDescent="0.25">
      <c r="A34" s="7"/>
      <c r="B34" s="7"/>
      <c r="C34" s="7"/>
      <c r="D34" s="7"/>
      <c r="E34" s="7"/>
      <c r="F34" s="7"/>
      <c r="G34" s="8"/>
      <c r="H34" s="7"/>
      <c r="I34" s="7"/>
      <c r="J34" s="7"/>
      <c r="K34" s="7"/>
      <c r="L34" s="7"/>
      <c r="M34" s="7"/>
      <c r="N34" s="7"/>
      <c r="O34" s="7"/>
      <c r="P34" s="8"/>
      <c r="Q34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GeneralValues</vt:lpstr>
      <vt:lpstr>Body</vt:lpstr>
      <vt:lpstr>Helmets</vt:lpstr>
      <vt:lpstr>Boots</vt:lpstr>
      <vt:lpstr>Damage_Bonus</vt:lpstr>
      <vt:lpstr>Backpacks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Marcin</cp:lastModifiedBy>
  <dcterms:created xsi:type="dcterms:W3CDTF">2006-09-16T00:00:00Z</dcterms:created>
  <dcterms:modified xsi:type="dcterms:W3CDTF">2023-09-26T07:13:14Z</dcterms:modified>
</cp:coreProperties>
</file>